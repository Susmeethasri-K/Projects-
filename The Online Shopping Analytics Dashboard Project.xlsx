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pivotTables/pivotTable5.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drawings/drawing5.xml" ContentType="application/vnd.openxmlformats-officedocument.drawing+xml"/>
  <Override PartName="/xl/slicers/slicer5.xml" ContentType="application/vnd.ms-excel.slicer+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6.xml" ContentType="application/vnd.openxmlformats-officedocument.drawing+xml"/>
  <Override PartName="/xl/drawings/drawing7.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https://d.docs.live.net/ed5d6c8023b61479/Desktop/EXCEL Project/"/>
    </mc:Choice>
  </mc:AlternateContent>
  <xr:revisionPtr revIDLastSave="0" documentId="13_ncr:1_{827C1CDD-3D30-4A1D-9AD9-51B7950380DD}" xr6:coauthVersionLast="47" xr6:coauthVersionMax="47" xr10:uidLastSave="{00000000-0000-0000-0000-000000000000}"/>
  <bookViews>
    <workbookView xWindow="-120" yWindow="-120" windowWidth="29040" windowHeight="15720" firstSheet="6" activeTab="7" xr2:uid="{00000000-000D-0000-FFFF-FFFF00000000}"/>
  </bookViews>
  <sheets>
    <sheet name="Pivot Chart 1" sheetId="6" r:id="rId1"/>
    <sheet name="Pivot Chart 2" sheetId="7" r:id="rId2"/>
    <sheet name="Pivot Table 3" sheetId="8" r:id="rId3"/>
    <sheet name="Pivot Table 4" sheetId="16" r:id="rId4"/>
    <sheet name="4 Pivot Reference" sheetId="20" r:id="rId5"/>
    <sheet name="Sparkline" sheetId="12" r:id="rId6"/>
    <sheet name="Data Alignment" sheetId="10" r:id="rId7"/>
    <sheet name="Online Shopping Customer Data" sheetId="1" r:id="rId8"/>
    <sheet name="Dashboard" sheetId="13" r:id="rId9"/>
    <sheet name="Objective" sheetId="21" r:id="rId10"/>
    <sheet name="Dashboard (2)" sheetId="3" state="hidden" r:id="rId11"/>
  </sheets>
  <definedNames>
    <definedName name="_xlnm._FilterDatabase" localSheetId="7" hidden="1">'Online Shopping Customer Data'!$A$1:$K$1</definedName>
    <definedName name="_xlnm._FilterDatabase" localSheetId="5" hidden="1">Sparkline!#REF!</definedName>
    <definedName name="Slicer___Contribution">#N/A</definedName>
    <definedName name="Slicer_Category">#N/A</definedName>
    <definedName name="Slicer_City">#N/A</definedName>
    <definedName name="Slicer_Months__Order_Date">#N/A</definedName>
    <definedName name="Slicer_Product">#N/A</definedName>
    <definedName name="Slicer_Sum_Of_Product">#N/A</definedName>
    <definedName name="Slicer_Total_Amount">#N/A</definedName>
    <definedName name="Slicer_Total_Amount1">#N/A</definedName>
    <definedName name="Slicer_Total_Amount2">#N/A</definedName>
  </definedNames>
  <calcPr calcId="191028"/>
  <pivotCaches>
    <pivotCache cacheId="0" r:id="rId12"/>
    <pivotCache cacheId="1" r:id="rId13"/>
    <pivotCache cacheId="2" r:id="rId14"/>
  </pivotCaches>
  <extLst>
    <ext xmlns:x14="http://schemas.microsoft.com/office/spreadsheetml/2009/9/main" uri="{BBE1A952-AA13-448e-AADC-164F8A28A991}">
      <x14:slicerCaches>
        <x14:slicerCache r:id="rId15"/>
        <x14:slicerCache r:id="rId16"/>
        <x14:slicerCache r:id="rId17"/>
        <x14:slicerCache r:id="rId18"/>
        <x14:slicerCache r:id="rId19"/>
        <x14:slicerCache r:id="rId20"/>
        <x14:slicerCache r:id="rId21"/>
        <x14:slicerCache r:id="rId22"/>
        <x14:slicerCache r:id="rId2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552" i="1" l="1"/>
  <c r="C549" i="1"/>
  <c r="B547" i="1"/>
  <c r="C547" i="1" s="1"/>
  <c r="C545" i="1"/>
  <c r="B545" i="1"/>
  <c r="C543" i="1"/>
  <c r="C541" i="1"/>
  <c r="C539" i="1"/>
  <c r="C537" i="1"/>
  <c r="C535" i="1"/>
  <c r="C533" i="1"/>
  <c r="C531" i="1"/>
  <c r="C529" i="1"/>
  <c r="B514" i="1"/>
  <c r="D527" i="1"/>
  <c r="D526" i="1"/>
  <c r="E4" i="3" s="1"/>
  <c r="C524" i="1"/>
  <c r="B522" i="1"/>
  <c r="B520" i="1"/>
  <c r="B518" i="1"/>
  <c r="B516" i="1"/>
  <c r="B512" i="1"/>
  <c r="B510" i="1"/>
  <c r="B508" i="1"/>
  <c r="C14" i="12"/>
  <c r="D14" i="12"/>
  <c r="E14" i="12"/>
  <c r="F14" i="12"/>
  <c r="G14" i="12"/>
  <c r="B14" i="12"/>
  <c r="G501" i="10"/>
  <c r="G500" i="10"/>
  <c r="G499" i="10"/>
  <c r="G498" i="10"/>
  <c r="G497" i="10"/>
  <c r="G496" i="10"/>
  <c r="G495" i="10"/>
  <c r="G494" i="10"/>
  <c r="G493" i="10"/>
  <c r="G492" i="10"/>
  <c r="G491" i="10"/>
  <c r="G490" i="10"/>
  <c r="G489" i="10"/>
  <c r="G488" i="10"/>
  <c r="G487" i="10"/>
  <c r="G486" i="10"/>
  <c r="G485" i="10"/>
  <c r="G484" i="10"/>
  <c r="G483" i="10"/>
  <c r="G482" i="10"/>
  <c r="G481" i="10"/>
  <c r="G480" i="10"/>
  <c r="G479" i="10"/>
  <c r="G478" i="10"/>
  <c r="G477" i="10"/>
  <c r="G476" i="10"/>
  <c r="G475" i="10"/>
  <c r="G474" i="10"/>
  <c r="G473" i="10"/>
  <c r="G472" i="10"/>
  <c r="G471" i="10"/>
  <c r="G470" i="10"/>
  <c r="G469" i="10"/>
  <c r="G468" i="10"/>
  <c r="G467" i="10"/>
  <c r="G466" i="10"/>
  <c r="G465" i="10"/>
  <c r="G464" i="10"/>
  <c r="G463" i="10"/>
  <c r="G462" i="10"/>
  <c r="G461" i="10"/>
  <c r="G460" i="10"/>
  <c r="G459" i="10"/>
  <c r="G458" i="10"/>
  <c r="G457" i="10"/>
  <c r="G456" i="10"/>
  <c r="G455" i="10"/>
  <c r="G454" i="10"/>
  <c r="G453" i="10"/>
  <c r="G452" i="10"/>
  <c r="G451" i="10"/>
  <c r="G450" i="10"/>
  <c r="G449" i="10"/>
  <c r="G448" i="10"/>
  <c r="G447" i="10"/>
  <c r="G446" i="10"/>
  <c r="G445" i="10"/>
  <c r="G444" i="10"/>
  <c r="G443" i="10"/>
  <c r="G442" i="10"/>
  <c r="G441" i="10"/>
  <c r="G440" i="10"/>
  <c r="G439" i="10"/>
  <c r="G438" i="10"/>
  <c r="G437" i="10"/>
  <c r="G436" i="10"/>
  <c r="G435" i="10"/>
  <c r="G434" i="10"/>
  <c r="G433" i="10"/>
  <c r="G432" i="10"/>
  <c r="G431" i="10"/>
  <c r="G430" i="10"/>
  <c r="G429" i="10"/>
  <c r="G428" i="10"/>
  <c r="G427" i="10"/>
  <c r="G426" i="10"/>
  <c r="G425" i="10"/>
  <c r="G424" i="10"/>
  <c r="G423" i="10"/>
  <c r="G422" i="10"/>
  <c r="G421" i="10"/>
  <c r="G420" i="10"/>
  <c r="G419" i="10"/>
  <c r="G418" i="10"/>
  <c r="G417" i="10"/>
  <c r="G416" i="10"/>
  <c r="G415" i="10"/>
  <c r="G414" i="10"/>
  <c r="G413" i="10"/>
  <c r="G412" i="10"/>
  <c r="G411" i="10"/>
  <c r="G410" i="10"/>
  <c r="G409" i="10"/>
  <c r="G408" i="10"/>
  <c r="G407" i="10"/>
  <c r="G406" i="10"/>
  <c r="G405" i="10"/>
  <c r="G404" i="10"/>
  <c r="G403" i="10"/>
  <c r="G402" i="10"/>
  <c r="G401" i="10"/>
  <c r="G400" i="10"/>
  <c r="G399" i="10"/>
  <c r="G398" i="10"/>
  <c r="G397" i="10"/>
  <c r="G396" i="10"/>
  <c r="G395" i="10"/>
  <c r="G394" i="10"/>
  <c r="G393" i="10"/>
  <c r="G392" i="10"/>
  <c r="G391" i="10"/>
  <c r="G390" i="10"/>
  <c r="G389" i="10"/>
  <c r="G388" i="10"/>
  <c r="G387" i="10"/>
  <c r="G386" i="10"/>
  <c r="G385" i="10"/>
  <c r="G384" i="10"/>
  <c r="G383" i="10"/>
  <c r="G382" i="10"/>
  <c r="G381" i="10"/>
  <c r="G380" i="10"/>
  <c r="G379" i="10"/>
  <c r="G378" i="10"/>
  <c r="G377" i="10"/>
  <c r="G376" i="10"/>
  <c r="G375" i="10"/>
  <c r="G374" i="10"/>
  <c r="G373" i="10"/>
  <c r="G372" i="10"/>
  <c r="G371" i="10"/>
  <c r="G370" i="10"/>
  <c r="G369" i="10"/>
  <c r="G368" i="10"/>
  <c r="G367" i="10"/>
  <c r="G366" i="10"/>
  <c r="G365" i="10"/>
  <c r="G364" i="10"/>
  <c r="G363" i="10"/>
  <c r="G362" i="10"/>
  <c r="G361" i="10"/>
  <c r="G360" i="10"/>
  <c r="G359" i="10"/>
  <c r="G358" i="10"/>
  <c r="G357" i="10"/>
  <c r="G356" i="10"/>
  <c r="G355" i="10"/>
  <c r="G354" i="10"/>
  <c r="G353" i="10"/>
  <c r="G352" i="10"/>
  <c r="G351" i="10"/>
  <c r="G350" i="10"/>
  <c r="G349" i="10"/>
  <c r="G348" i="10"/>
  <c r="G347" i="10"/>
  <c r="G346" i="10"/>
  <c r="G345" i="10"/>
  <c r="G344" i="10"/>
  <c r="G343" i="10"/>
  <c r="G342" i="10"/>
  <c r="G341" i="10"/>
  <c r="G340" i="10"/>
  <c r="G339" i="10"/>
  <c r="G338" i="10"/>
  <c r="G337" i="10"/>
  <c r="G336" i="10"/>
  <c r="G335" i="10"/>
  <c r="G334" i="10"/>
  <c r="G333" i="10"/>
  <c r="G332" i="10"/>
  <c r="G331" i="10"/>
  <c r="G330" i="10"/>
  <c r="G329" i="10"/>
  <c r="G328" i="10"/>
  <c r="G327" i="10"/>
  <c r="G326" i="10"/>
  <c r="G325" i="10"/>
  <c r="G324" i="10"/>
  <c r="G323" i="10"/>
  <c r="G322" i="10"/>
  <c r="G321" i="10"/>
  <c r="G320" i="10"/>
  <c r="G319" i="10"/>
  <c r="G318" i="10"/>
  <c r="G317" i="10"/>
  <c r="G316" i="10"/>
  <c r="G315" i="10"/>
  <c r="G314" i="10"/>
  <c r="G313" i="10"/>
  <c r="G312" i="10"/>
  <c r="G311" i="10"/>
  <c r="G310" i="10"/>
  <c r="G309" i="10"/>
  <c r="G308" i="10"/>
  <c r="G307" i="10"/>
  <c r="G306" i="10"/>
  <c r="G305" i="10"/>
  <c r="G304" i="10"/>
  <c r="G303" i="10"/>
  <c r="G302" i="10"/>
  <c r="G301" i="10"/>
  <c r="G300" i="10"/>
  <c r="G299" i="10"/>
  <c r="G298" i="10"/>
  <c r="G297" i="10"/>
  <c r="G296" i="10"/>
  <c r="G295" i="10"/>
  <c r="G294" i="10"/>
  <c r="G293" i="10"/>
  <c r="G292" i="10"/>
  <c r="G291" i="10"/>
  <c r="G290" i="10"/>
  <c r="G289" i="10"/>
  <c r="G288" i="10"/>
  <c r="G287" i="10"/>
  <c r="G286" i="10"/>
  <c r="G285" i="10"/>
  <c r="G284" i="10"/>
  <c r="G283" i="10"/>
  <c r="G282" i="10"/>
  <c r="G281" i="10"/>
  <c r="G280" i="10"/>
  <c r="G279" i="10"/>
  <c r="G278" i="10"/>
  <c r="G277" i="10"/>
  <c r="G276" i="10"/>
  <c r="G275" i="10"/>
  <c r="G274" i="10"/>
  <c r="G273" i="10"/>
  <c r="G272" i="10"/>
  <c r="G271" i="10"/>
  <c r="G270" i="10"/>
  <c r="G269" i="10"/>
  <c r="G268" i="10"/>
  <c r="G267" i="10"/>
  <c r="G266" i="10"/>
  <c r="G265" i="10"/>
  <c r="G264" i="10"/>
  <c r="G263" i="10"/>
  <c r="G262" i="10"/>
  <c r="G261" i="10"/>
  <c r="G260" i="10"/>
  <c r="G259" i="10"/>
  <c r="G258" i="10"/>
  <c r="G257" i="10"/>
  <c r="G256" i="10"/>
  <c r="G255" i="10"/>
  <c r="G254" i="10"/>
  <c r="G253" i="10"/>
  <c r="G252" i="10"/>
  <c r="G251" i="10"/>
  <c r="G250" i="10"/>
  <c r="G249" i="10"/>
  <c r="G248" i="10"/>
  <c r="G247" i="10"/>
  <c r="G246" i="10"/>
  <c r="G245" i="10"/>
  <c r="G244" i="10"/>
  <c r="G243" i="10"/>
  <c r="G242" i="10"/>
  <c r="G241" i="10"/>
  <c r="G240" i="10"/>
  <c r="G239" i="10"/>
  <c r="G238" i="10"/>
  <c r="G237" i="10"/>
  <c r="G236" i="10"/>
  <c r="G235" i="10"/>
  <c r="G234" i="10"/>
  <c r="G233" i="10"/>
  <c r="G232" i="10"/>
  <c r="G231" i="10"/>
  <c r="G230" i="10"/>
  <c r="G229" i="10"/>
  <c r="G228" i="10"/>
  <c r="G227" i="10"/>
  <c r="G226" i="10"/>
  <c r="G225" i="10"/>
  <c r="G224" i="10"/>
  <c r="G223" i="10"/>
  <c r="G222" i="10"/>
  <c r="G221" i="10"/>
  <c r="G220" i="10"/>
  <c r="G219" i="10"/>
  <c r="G218" i="10"/>
  <c r="G217" i="10"/>
  <c r="G216" i="10"/>
  <c r="G215" i="10"/>
  <c r="G214" i="10"/>
  <c r="G213" i="10"/>
  <c r="G212" i="10"/>
  <c r="G211" i="10"/>
  <c r="G210" i="10"/>
  <c r="G209" i="10"/>
  <c r="G208" i="10"/>
  <c r="G207" i="10"/>
  <c r="G206" i="10"/>
  <c r="G205" i="10"/>
  <c r="G204" i="10"/>
  <c r="G203" i="10"/>
  <c r="G202" i="10"/>
  <c r="G201" i="10"/>
  <c r="G200" i="10"/>
  <c r="G199" i="10"/>
  <c r="G198" i="10"/>
  <c r="G197" i="10"/>
  <c r="G196" i="10"/>
  <c r="G195" i="10"/>
  <c r="G194" i="10"/>
  <c r="G193" i="10"/>
  <c r="G192" i="10"/>
  <c r="G191" i="10"/>
  <c r="G190" i="10"/>
  <c r="G189" i="10"/>
  <c r="G188" i="10"/>
  <c r="G187" i="10"/>
  <c r="G186" i="10"/>
  <c r="G185" i="10"/>
  <c r="G184" i="10"/>
  <c r="G183" i="10"/>
  <c r="G182" i="10"/>
  <c r="G181" i="10"/>
  <c r="G180" i="10"/>
  <c r="G179" i="10"/>
  <c r="G178" i="10"/>
  <c r="G177" i="10"/>
  <c r="G176" i="10"/>
  <c r="G175" i="10"/>
  <c r="G174" i="10"/>
  <c r="G173" i="10"/>
  <c r="G172" i="10"/>
  <c r="G171" i="10"/>
  <c r="G170" i="10"/>
  <c r="G169" i="10"/>
  <c r="G168" i="10"/>
  <c r="G167" i="10"/>
  <c r="G166" i="10"/>
  <c r="G165" i="10"/>
  <c r="G164" i="10"/>
  <c r="G163" i="10"/>
  <c r="G162" i="10"/>
  <c r="G161" i="10"/>
  <c r="G160" i="10"/>
  <c r="G159" i="10"/>
  <c r="G158" i="10"/>
  <c r="G157" i="10"/>
  <c r="G156" i="10"/>
  <c r="G155" i="10"/>
  <c r="G154" i="10"/>
  <c r="G153" i="10"/>
  <c r="G152" i="10"/>
  <c r="G151" i="10"/>
  <c r="G150" i="10"/>
  <c r="G149" i="10"/>
  <c r="G148" i="10"/>
  <c r="G147" i="10"/>
  <c r="G146" i="10"/>
  <c r="G145" i="10"/>
  <c r="G144" i="10"/>
  <c r="G143" i="10"/>
  <c r="G142" i="10"/>
  <c r="G141" i="10"/>
  <c r="G140" i="10"/>
  <c r="G139" i="10"/>
  <c r="G138" i="10"/>
  <c r="G137" i="10"/>
  <c r="G136" i="10"/>
  <c r="G135" i="10"/>
  <c r="G134" i="10"/>
  <c r="G133" i="10"/>
  <c r="G132" i="10"/>
  <c r="G131" i="10"/>
  <c r="G130" i="10"/>
  <c r="G129" i="10"/>
  <c r="G128" i="10"/>
  <c r="G127" i="10"/>
  <c r="G126" i="10"/>
  <c r="G125" i="10"/>
  <c r="G124" i="10"/>
  <c r="G123" i="10"/>
  <c r="G122" i="10"/>
  <c r="G121" i="10"/>
  <c r="G120" i="10"/>
  <c r="G119" i="10"/>
  <c r="G118" i="10"/>
  <c r="G117" i="10"/>
  <c r="G116" i="10"/>
  <c r="G115" i="10"/>
  <c r="G114" i="10"/>
  <c r="G113" i="10"/>
  <c r="G112" i="10"/>
  <c r="G111" i="10"/>
  <c r="G110" i="10"/>
  <c r="G109" i="10"/>
  <c r="G108" i="10"/>
  <c r="G107" i="10"/>
  <c r="G106" i="10"/>
  <c r="G105" i="10"/>
  <c r="G104" i="10"/>
  <c r="G103" i="10"/>
  <c r="G102" i="10"/>
  <c r="G101" i="10"/>
  <c r="G100" i="10"/>
  <c r="G99" i="10"/>
  <c r="G98" i="10"/>
  <c r="G97" i="10"/>
  <c r="G96" i="10"/>
  <c r="G95" i="10"/>
  <c r="G94" i="10"/>
  <c r="G93" i="10"/>
  <c r="G92" i="10"/>
  <c r="G91" i="10"/>
  <c r="G90" i="10"/>
  <c r="G89" i="10"/>
  <c r="G88" i="10"/>
  <c r="G87" i="10"/>
  <c r="G86" i="10"/>
  <c r="G85" i="10"/>
  <c r="G84" i="10"/>
  <c r="G83" i="10"/>
  <c r="G82" i="10"/>
  <c r="G81" i="10"/>
  <c r="G80" i="10"/>
  <c r="G79" i="10"/>
  <c r="G78" i="10"/>
  <c r="G77" i="10"/>
  <c r="G76" i="10"/>
  <c r="G75" i="10"/>
  <c r="G74" i="10"/>
  <c r="G73" i="10"/>
  <c r="G72" i="10"/>
  <c r="G71" i="10"/>
  <c r="G70" i="10"/>
  <c r="G69" i="10"/>
  <c r="G68" i="10"/>
  <c r="G67" i="10"/>
  <c r="G66" i="10"/>
  <c r="G65" i="10"/>
  <c r="G64" i="10"/>
  <c r="G63" i="10"/>
  <c r="G62" i="10"/>
  <c r="G61" i="10"/>
  <c r="G60" i="10"/>
  <c r="G59" i="10"/>
  <c r="G58" i="10"/>
  <c r="G57" i="10"/>
  <c r="G56" i="10"/>
  <c r="G55" i="10"/>
  <c r="G54" i="10"/>
  <c r="G53" i="10"/>
  <c r="G52" i="10"/>
  <c r="G51" i="10"/>
  <c r="G50" i="10"/>
  <c r="G49" i="10"/>
  <c r="G48" i="10"/>
  <c r="G47" i="10"/>
  <c r="G46" i="10"/>
  <c r="G45" i="10"/>
  <c r="G44" i="10"/>
  <c r="G43" i="10"/>
  <c r="G42" i="10"/>
  <c r="G41" i="10"/>
  <c r="G40" i="10"/>
  <c r="G39" i="10"/>
  <c r="G38" i="10"/>
  <c r="G37" i="10"/>
  <c r="G36" i="10"/>
  <c r="G35" i="10"/>
  <c r="G34" i="10"/>
  <c r="G33" i="10"/>
  <c r="G32" i="10"/>
  <c r="G31" i="10"/>
  <c r="G30" i="10"/>
  <c r="G29" i="10"/>
  <c r="G28" i="10"/>
  <c r="G27" i="10"/>
  <c r="G26" i="10"/>
  <c r="G25" i="10"/>
  <c r="G24" i="10"/>
  <c r="G23" i="10"/>
  <c r="G22" i="10"/>
  <c r="G21" i="10"/>
  <c r="G20" i="10"/>
  <c r="G19" i="10"/>
  <c r="G18" i="10"/>
  <c r="G17" i="10"/>
  <c r="G16" i="10"/>
  <c r="G15" i="10"/>
  <c r="G14" i="10"/>
  <c r="G13" i="10"/>
  <c r="G12" i="10"/>
  <c r="G11" i="10"/>
  <c r="G10" i="10"/>
  <c r="G9" i="10"/>
  <c r="G8" i="10"/>
  <c r="G7" i="10"/>
  <c r="G6" i="10"/>
  <c r="G5" i="10"/>
  <c r="G4" i="10"/>
  <c r="G3" i="10"/>
  <c r="G2" i="10"/>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2" i="1"/>
  <c r="B5" i="3"/>
  <c r="B4" i="3"/>
  <c r="B3" i="3"/>
  <c r="E3" i="3" l="1"/>
  <c r="E2" i="3"/>
</calcChain>
</file>

<file path=xl/sharedStrings.xml><?xml version="1.0" encoding="utf-8"?>
<sst xmlns="http://schemas.openxmlformats.org/spreadsheetml/2006/main" count="7729" uniqueCount="717">
  <si>
    <t>Product</t>
  </si>
  <si>
    <t>Category</t>
  </si>
  <si>
    <t>Quantity</t>
  </si>
  <si>
    <t>Price</t>
  </si>
  <si>
    <t>City</t>
  </si>
  <si>
    <t>Rating</t>
  </si>
  <si>
    <t>Laptop</t>
  </si>
  <si>
    <t>Electronics</t>
  </si>
  <si>
    <t>UPI</t>
  </si>
  <si>
    <t>Chennai</t>
  </si>
  <si>
    <t>Shoes</t>
  </si>
  <si>
    <t>Fashion</t>
  </si>
  <si>
    <t>Mobile</t>
  </si>
  <si>
    <t>Watch</t>
  </si>
  <si>
    <t>Accessories</t>
  </si>
  <si>
    <t>Headphones</t>
  </si>
  <si>
    <t>Bag</t>
  </si>
  <si>
    <t>Online Shopping Analytics Dashboard</t>
  </si>
  <si>
    <t>Revenue</t>
  </si>
  <si>
    <t>Total Orders</t>
  </si>
  <si>
    <t>Total Revenue</t>
  </si>
  <si>
    <t>Average Rating</t>
  </si>
  <si>
    <t>Customer ID</t>
  </si>
  <si>
    <t>Customer Name</t>
  </si>
  <si>
    <t>C0001</t>
  </si>
  <si>
    <t>Suresh Reddy</t>
  </si>
  <si>
    <t>Keyboard</t>
  </si>
  <si>
    <t>Bangalore</t>
  </si>
  <si>
    <t>C0002</t>
  </si>
  <si>
    <t>Kiran Kumar</t>
  </si>
  <si>
    <t>Cash on Delivery</t>
  </si>
  <si>
    <t>C0003</t>
  </si>
  <si>
    <t>Vikram Kumar</t>
  </si>
  <si>
    <t>C0004</t>
  </si>
  <si>
    <t>Pooja Kumar</t>
  </si>
  <si>
    <t>Delhi</t>
  </si>
  <si>
    <t>C0005</t>
  </si>
  <si>
    <t>Arjun Kumar</t>
  </si>
  <si>
    <t>C0006</t>
  </si>
  <si>
    <t>Lakshmi Singh</t>
  </si>
  <si>
    <t>Debit Card</t>
  </si>
  <si>
    <t>C0007</t>
  </si>
  <si>
    <t>Sneha Singh</t>
  </si>
  <si>
    <t>Credit Card</t>
  </si>
  <si>
    <t>C0008</t>
  </si>
  <si>
    <t>Neha Sharma</t>
  </si>
  <si>
    <t>Hyderabad</t>
  </si>
  <si>
    <t>C0009</t>
  </si>
  <si>
    <t>Pooja Singh</t>
  </si>
  <si>
    <t>Kolkata</t>
  </si>
  <si>
    <t>C0010</t>
  </si>
  <si>
    <t>Divya Kumar</t>
  </si>
  <si>
    <t>T-Shirt</t>
  </si>
  <si>
    <t>C0011</t>
  </si>
  <si>
    <t>Riya Singh</t>
  </si>
  <si>
    <t>Book</t>
  </si>
  <si>
    <t>Education</t>
  </si>
  <si>
    <t>C0012</t>
  </si>
  <si>
    <t>Sneha Reddy</t>
  </si>
  <si>
    <t>Tablet</t>
  </si>
  <si>
    <t>C0013</t>
  </si>
  <si>
    <t>Aisha Patel</t>
  </si>
  <si>
    <t>C0014</t>
  </si>
  <si>
    <t>Lakshmi Kumar</t>
  </si>
  <si>
    <t>Mumbai</t>
  </si>
  <si>
    <t>Net Banking</t>
  </si>
  <si>
    <t>C0015</t>
  </si>
  <si>
    <t>Pooja Sharma</t>
  </si>
  <si>
    <t>C0016</t>
  </si>
  <si>
    <t>Pooja Reddy</t>
  </si>
  <si>
    <t>C0017</t>
  </si>
  <si>
    <t>Divya Sharma</t>
  </si>
  <si>
    <t>C0018</t>
  </si>
  <si>
    <t>Ananya Singh</t>
  </si>
  <si>
    <t>Pune</t>
  </si>
  <si>
    <t>C0019</t>
  </si>
  <si>
    <t>Lakshmi Sharma</t>
  </si>
  <si>
    <t>C0020</t>
  </si>
  <si>
    <t>Priya Sharma</t>
  </si>
  <si>
    <t>Mixer</t>
  </si>
  <si>
    <t>Home</t>
  </si>
  <si>
    <t>C0021</t>
  </si>
  <si>
    <t>Kiran Singh</t>
  </si>
  <si>
    <t>C0022</t>
  </si>
  <si>
    <t>Kavya Reddy</t>
  </si>
  <si>
    <t>C0023</t>
  </si>
  <si>
    <t>Diya Patel</t>
  </si>
  <si>
    <t>C0024</t>
  </si>
  <si>
    <t>C0025</t>
  </si>
  <si>
    <t>Aarav Sharma</t>
  </si>
  <si>
    <t>C0026</t>
  </si>
  <si>
    <t>Suresh Singh</t>
  </si>
  <si>
    <t>C0027</t>
  </si>
  <si>
    <t>Suresh Sharma</t>
  </si>
  <si>
    <t>C0028</t>
  </si>
  <si>
    <t>Ananya Reddy</t>
  </si>
  <si>
    <t>C0029</t>
  </si>
  <si>
    <t>C0030</t>
  </si>
  <si>
    <t>Nisha Singh</t>
  </si>
  <si>
    <t>C0031</t>
  </si>
  <si>
    <t>Priya Singh</t>
  </si>
  <si>
    <t>C0032</t>
  </si>
  <si>
    <t>Rahul Singh</t>
  </si>
  <si>
    <t>C0033</t>
  </si>
  <si>
    <t>Nisha Reddy</t>
  </si>
  <si>
    <t>Chair</t>
  </si>
  <si>
    <t>Furniture</t>
  </si>
  <si>
    <t>C0034</t>
  </si>
  <si>
    <t>Nisha Sharma</t>
  </si>
  <si>
    <t>C0035</t>
  </si>
  <si>
    <t>Riya Sharma</t>
  </si>
  <si>
    <t>C0036</t>
  </si>
  <si>
    <t>Aisha Singh</t>
  </si>
  <si>
    <t>C0037</t>
  </si>
  <si>
    <t>Kavya Patel</t>
  </si>
  <si>
    <t>C0038</t>
  </si>
  <si>
    <t>C0039</t>
  </si>
  <si>
    <t>C0040</t>
  </si>
  <si>
    <t>C0041</t>
  </si>
  <si>
    <t>Arjun Sharma</t>
  </si>
  <si>
    <t>C0042</t>
  </si>
  <si>
    <t>C0043</t>
  </si>
  <si>
    <t>Divya Singh</t>
  </si>
  <si>
    <t>C0044</t>
  </si>
  <si>
    <t>Arjun Patel</t>
  </si>
  <si>
    <t>C0045</t>
  </si>
  <si>
    <t>Aisha Kumar</t>
  </si>
  <si>
    <t>C0046</t>
  </si>
  <si>
    <t>Vikram Singh</t>
  </si>
  <si>
    <t>C0047</t>
  </si>
  <si>
    <t>Kiran Reddy</t>
  </si>
  <si>
    <t>C0048</t>
  </si>
  <si>
    <t>Sneha Sharma</t>
  </si>
  <si>
    <t>C0049</t>
  </si>
  <si>
    <t>C0050</t>
  </si>
  <si>
    <t>Diya Reddy</t>
  </si>
  <si>
    <t>C0051</t>
  </si>
  <si>
    <t>Rahul Reddy</t>
  </si>
  <si>
    <t>C0052</t>
  </si>
  <si>
    <t>C0053</t>
  </si>
  <si>
    <t>C0054</t>
  </si>
  <si>
    <t>Meera Singh</t>
  </si>
  <si>
    <t>C0055</t>
  </si>
  <si>
    <t>C0056</t>
  </si>
  <si>
    <t>Aisha Reddy</t>
  </si>
  <si>
    <t>C0057</t>
  </si>
  <si>
    <t>C0058</t>
  </si>
  <si>
    <t>Nisha Patel</t>
  </si>
  <si>
    <t>C0059</t>
  </si>
  <si>
    <t>C0060</t>
  </si>
  <si>
    <t>Ananya Kumar</t>
  </si>
  <si>
    <t>C0061</t>
  </si>
  <si>
    <t>C0062</t>
  </si>
  <si>
    <t>C0063</t>
  </si>
  <si>
    <t>C0064</t>
  </si>
  <si>
    <t>Priya Patel</t>
  </si>
  <si>
    <t>C0065</t>
  </si>
  <si>
    <t>Aarav Patel</t>
  </si>
  <si>
    <t>C0066</t>
  </si>
  <si>
    <t>Kavya Sharma</t>
  </si>
  <si>
    <t>C0067</t>
  </si>
  <si>
    <t>C0068</t>
  </si>
  <si>
    <t>C0069</t>
  </si>
  <si>
    <t>Aarav Singh</t>
  </si>
  <si>
    <t>C0070</t>
  </si>
  <si>
    <t>C0071</t>
  </si>
  <si>
    <t>C0072</t>
  </si>
  <si>
    <t>Nisha Kumar</t>
  </si>
  <si>
    <t>C0073</t>
  </si>
  <si>
    <t>C0074</t>
  </si>
  <si>
    <t>Meera Kumar</t>
  </si>
  <si>
    <t>C0075</t>
  </si>
  <si>
    <t>C0076</t>
  </si>
  <si>
    <t>Rahul Sharma</t>
  </si>
  <si>
    <t>C0077</t>
  </si>
  <si>
    <t>Kavya Singh</t>
  </si>
  <si>
    <t>C0078</t>
  </si>
  <si>
    <t>C0079</t>
  </si>
  <si>
    <t>Rohit Singh</t>
  </si>
  <si>
    <t>C0080</t>
  </si>
  <si>
    <t>C0081</t>
  </si>
  <si>
    <t>C0082</t>
  </si>
  <si>
    <t>Rohit Reddy</t>
  </si>
  <si>
    <t>C0083</t>
  </si>
  <si>
    <t>Aarav Reddy</t>
  </si>
  <si>
    <t>C0084</t>
  </si>
  <si>
    <t>Neha Singh</t>
  </si>
  <si>
    <t>C0085</t>
  </si>
  <si>
    <t>C0086</t>
  </si>
  <si>
    <t>C0087</t>
  </si>
  <si>
    <t>Priya Kumar</t>
  </si>
  <si>
    <t>C0088</t>
  </si>
  <si>
    <t>C0089</t>
  </si>
  <si>
    <t>Neha Reddy</t>
  </si>
  <si>
    <t>C0090</t>
  </si>
  <si>
    <t>C0091</t>
  </si>
  <si>
    <t>C0092</t>
  </si>
  <si>
    <t>C0093</t>
  </si>
  <si>
    <t>C0094</t>
  </si>
  <si>
    <t>Lakshmi Patel</t>
  </si>
  <si>
    <t>C0095</t>
  </si>
  <si>
    <t>C0096</t>
  </si>
  <si>
    <t>C0097</t>
  </si>
  <si>
    <t>Kiran Patel</t>
  </si>
  <si>
    <t>C0098</t>
  </si>
  <si>
    <t>Rahul Kumar</t>
  </si>
  <si>
    <t>C0099</t>
  </si>
  <si>
    <t>C0100</t>
  </si>
  <si>
    <t>C0101</t>
  </si>
  <si>
    <t>C0102</t>
  </si>
  <si>
    <t>Neha Kumar</t>
  </si>
  <si>
    <t>C0103</t>
  </si>
  <si>
    <t>C0104</t>
  </si>
  <si>
    <t>Meera Sharma</t>
  </si>
  <si>
    <t>C0105</t>
  </si>
  <si>
    <t>C0106</t>
  </si>
  <si>
    <t>C0107</t>
  </si>
  <si>
    <t>C0108</t>
  </si>
  <si>
    <t>C0109</t>
  </si>
  <si>
    <t>Meera Reddy</t>
  </si>
  <si>
    <t>C0110</t>
  </si>
  <si>
    <t>C0111</t>
  </si>
  <si>
    <t>C0112</t>
  </si>
  <si>
    <t>Ananya Patel</t>
  </si>
  <si>
    <t>C0113</t>
  </si>
  <si>
    <t>Neha Patel</t>
  </si>
  <si>
    <t>C0114</t>
  </si>
  <si>
    <t>C0115</t>
  </si>
  <si>
    <t>Rohit Sharma</t>
  </si>
  <si>
    <t>C0116</t>
  </si>
  <si>
    <t>C0117</t>
  </si>
  <si>
    <t>C0118</t>
  </si>
  <si>
    <t>C0119</t>
  </si>
  <si>
    <t>C0120</t>
  </si>
  <si>
    <t>C0121</t>
  </si>
  <si>
    <t>Divya Patel</t>
  </si>
  <si>
    <t>C0122</t>
  </si>
  <si>
    <t>Vikram Reddy</t>
  </si>
  <si>
    <t>C0123</t>
  </si>
  <si>
    <t>C0124</t>
  </si>
  <si>
    <t>C0125</t>
  </si>
  <si>
    <t>C0126</t>
  </si>
  <si>
    <t>C0127</t>
  </si>
  <si>
    <t>C0128</t>
  </si>
  <si>
    <t>C0129</t>
  </si>
  <si>
    <t>C0130</t>
  </si>
  <si>
    <t>C0131</t>
  </si>
  <si>
    <t>C0132</t>
  </si>
  <si>
    <t>Meera Patel</t>
  </si>
  <si>
    <t>C0133</t>
  </si>
  <si>
    <t>C0134</t>
  </si>
  <si>
    <t>C0135</t>
  </si>
  <si>
    <t>C0136</t>
  </si>
  <si>
    <t>C0137</t>
  </si>
  <si>
    <t>C0138</t>
  </si>
  <si>
    <t>C0139</t>
  </si>
  <si>
    <t>C0140</t>
  </si>
  <si>
    <t>Sneha Kumar</t>
  </si>
  <si>
    <t>C0141</t>
  </si>
  <si>
    <t>C0142</t>
  </si>
  <si>
    <t>C0143</t>
  </si>
  <si>
    <t>Riya Patel</t>
  </si>
  <si>
    <t>C0144</t>
  </si>
  <si>
    <t>C0145</t>
  </si>
  <si>
    <t>Divya Reddy</t>
  </si>
  <si>
    <t>C0146</t>
  </si>
  <si>
    <t>C0147</t>
  </si>
  <si>
    <t>Lakshmi Reddy</t>
  </si>
  <si>
    <t>C0148</t>
  </si>
  <si>
    <t>C0149</t>
  </si>
  <si>
    <t>C0150</t>
  </si>
  <si>
    <t>C0151</t>
  </si>
  <si>
    <t>C0152</t>
  </si>
  <si>
    <t>Kavya Kumar</t>
  </si>
  <si>
    <t>C0153</t>
  </si>
  <si>
    <t>C0154</t>
  </si>
  <si>
    <t>C0155</t>
  </si>
  <si>
    <t>C0156</t>
  </si>
  <si>
    <t>C0157</t>
  </si>
  <si>
    <t>C0158</t>
  </si>
  <si>
    <t>C0159</t>
  </si>
  <si>
    <t>C0160</t>
  </si>
  <si>
    <t>C0161</t>
  </si>
  <si>
    <t>Kiran Sharma</t>
  </si>
  <si>
    <t>C0162</t>
  </si>
  <si>
    <t>Aarav Kumar</t>
  </si>
  <si>
    <t>C0163</t>
  </si>
  <si>
    <t>C0164</t>
  </si>
  <si>
    <t>C0165</t>
  </si>
  <si>
    <t>C0166</t>
  </si>
  <si>
    <t>Rahul Patel</t>
  </si>
  <si>
    <t>C0167</t>
  </si>
  <si>
    <t>C0168</t>
  </si>
  <si>
    <t>Arjun Singh</t>
  </si>
  <si>
    <t>C0169</t>
  </si>
  <si>
    <t>Suresh Kumar</t>
  </si>
  <si>
    <t>C0170</t>
  </si>
  <si>
    <t>C0171</t>
  </si>
  <si>
    <t>Vikram Sharma</t>
  </si>
  <si>
    <t>C0172</t>
  </si>
  <si>
    <t>Aisha Sharma</t>
  </si>
  <si>
    <t>C0173</t>
  </si>
  <si>
    <t>C0174</t>
  </si>
  <si>
    <t>C0175</t>
  </si>
  <si>
    <t>C0176</t>
  </si>
  <si>
    <t>Rohit Kumar</t>
  </si>
  <si>
    <t>C0177</t>
  </si>
  <si>
    <t>C0178</t>
  </si>
  <si>
    <t>C0179</t>
  </si>
  <si>
    <t>Pooja Patel</t>
  </si>
  <si>
    <t>C0180</t>
  </si>
  <si>
    <t>C0181</t>
  </si>
  <si>
    <t>C0182</t>
  </si>
  <si>
    <t>C0183</t>
  </si>
  <si>
    <t>C0184</t>
  </si>
  <si>
    <t>C0185</t>
  </si>
  <si>
    <t>C0186</t>
  </si>
  <si>
    <t>C0187</t>
  </si>
  <si>
    <t>C0188</t>
  </si>
  <si>
    <t>C0189</t>
  </si>
  <si>
    <t>Rohit Patel</t>
  </si>
  <si>
    <t>C0190</t>
  </si>
  <si>
    <t>C0191</t>
  </si>
  <si>
    <t>C0192</t>
  </si>
  <si>
    <t>C0193</t>
  </si>
  <si>
    <t>C0194</t>
  </si>
  <si>
    <t>C0195</t>
  </si>
  <si>
    <t>C0196</t>
  </si>
  <si>
    <t>C0197</t>
  </si>
  <si>
    <t>C0198</t>
  </si>
  <si>
    <t>C0199</t>
  </si>
  <si>
    <t>C0200</t>
  </si>
  <si>
    <t>C0201</t>
  </si>
  <si>
    <t>C0202</t>
  </si>
  <si>
    <t>C0203</t>
  </si>
  <si>
    <t>C0204</t>
  </si>
  <si>
    <t>C0205</t>
  </si>
  <si>
    <t>C0206</t>
  </si>
  <si>
    <t>C0207</t>
  </si>
  <si>
    <t>C0208</t>
  </si>
  <si>
    <t>C0209</t>
  </si>
  <si>
    <t>C0210</t>
  </si>
  <si>
    <t>C0211</t>
  </si>
  <si>
    <t>C0212</t>
  </si>
  <si>
    <t>C0213</t>
  </si>
  <si>
    <t>C0214</t>
  </si>
  <si>
    <t>Sneha Patel</t>
  </si>
  <si>
    <t>C0215</t>
  </si>
  <si>
    <t>Diya Singh</t>
  </si>
  <si>
    <t>C0216</t>
  </si>
  <si>
    <t>C0217</t>
  </si>
  <si>
    <t>C0218</t>
  </si>
  <si>
    <t>C0219</t>
  </si>
  <si>
    <t>Arjun Reddy</t>
  </si>
  <si>
    <t>C0220</t>
  </si>
  <si>
    <t>C0221</t>
  </si>
  <si>
    <t>C0222</t>
  </si>
  <si>
    <t>C0223</t>
  </si>
  <si>
    <t>C0224</t>
  </si>
  <si>
    <t>C0225</t>
  </si>
  <si>
    <t>C0226</t>
  </si>
  <si>
    <t>C0227</t>
  </si>
  <si>
    <t>C0228</t>
  </si>
  <si>
    <t>Ananya Sharma</t>
  </si>
  <si>
    <t>C0229</t>
  </si>
  <si>
    <t>C0230</t>
  </si>
  <si>
    <t>C0231</t>
  </si>
  <si>
    <t>C0232</t>
  </si>
  <si>
    <t>C0233</t>
  </si>
  <si>
    <t>C0234</t>
  </si>
  <si>
    <t>C0235</t>
  </si>
  <si>
    <t>C0236</t>
  </si>
  <si>
    <t>Riya Kumar</t>
  </si>
  <si>
    <t>C0237</t>
  </si>
  <si>
    <t>C0238</t>
  </si>
  <si>
    <t>C0239</t>
  </si>
  <si>
    <t>Priya Reddy</t>
  </si>
  <si>
    <t>C0240</t>
  </si>
  <si>
    <t>C0241</t>
  </si>
  <si>
    <t>C0242</t>
  </si>
  <si>
    <t>C0243</t>
  </si>
  <si>
    <t>C0244</t>
  </si>
  <si>
    <t>C0245</t>
  </si>
  <si>
    <t>C0246</t>
  </si>
  <si>
    <t>Suresh Patel</t>
  </si>
  <si>
    <t>C0247</t>
  </si>
  <si>
    <t>C0248</t>
  </si>
  <si>
    <t>Diya Kumar</t>
  </si>
  <si>
    <t>C0249</t>
  </si>
  <si>
    <t>C0250</t>
  </si>
  <si>
    <t>C0251</t>
  </si>
  <si>
    <t>C0252</t>
  </si>
  <si>
    <t>C0253</t>
  </si>
  <si>
    <t>C0254</t>
  </si>
  <si>
    <t>C0255</t>
  </si>
  <si>
    <t>Vikram Patel</t>
  </si>
  <si>
    <t>C0256</t>
  </si>
  <si>
    <t>C0257</t>
  </si>
  <si>
    <t>C0258</t>
  </si>
  <si>
    <t>C0259</t>
  </si>
  <si>
    <t>C0260</t>
  </si>
  <si>
    <t>C0261</t>
  </si>
  <si>
    <t>C0262</t>
  </si>
  <si>
    <t>C0263</t>
  </si>
  <si>
    <t>C0264</t>
  </si>
  <si>
    <t>C0265</t>
  </si>
  <si>
    <t>C0266</t>
  </si>
  <si>
    <t>C0267</t>
  </si>
  <si>
    <t>C0268</t>
  </si>
  <si>
    <t>C0269</t>
  </si>
  <si>
    <t>C0270</t>
  </si>
  <si>
    <t>C0271</t>
  </si>
  <si>
    <t>C0272</t>
  </si>
  <si>
    <t>C0273</t>
  </si>
  <si>
    <t>C0274</t>
  </si>
  <si>
    <t>C0275</t>
  </si>
  <si>
    <t>C0276</t>
  </si>
  <si>
    <t>C0277</t>
  </si>
  <si>
    <t>C0278</t>
  </si>
  <si>
    <t>C0279</t>
  </si>
  <si>
    <t>C0280</t>
  </si>
  <si>
    <t>C0281</t>
  </si>
  <si>
    <t>C0282</t>
  </si>
  <si>
    <t>C0283</t>
  </si>
  <si>
    <t>C0284</t>
  </si>
  <si>
    <t>C0285</t>
  </si>
  <si>
    <t>C0286</t>
  </si>
  <si>
    <t>C0287</t>
  </si>
  <si>
    <t>C0288</t>
  </si>
  <si>
    <t>C0289</t>
  </si>
  <si>
    <t>C0290</t>
  </si>
  <si>
    <t>C0291</t>
  </si>
  <si>
    <t>C0292</t>
  </si>
  <si>
    <t>C0293</t>
  </si>
  <si>
    <t>C0294</t>
  </si>
  <si>
    <t>C0295</t>
  </si>
  <si>
    <t>C0296</t>
  </si>
  <si>
    <t>C0297</t>
  </si>
  <si>
    <t>C0298</t>
  </si>
  <si>
    <t>C0299</t>
  </si>
  <si>
    <t>C0300</t>
  </si>
  <si>
    <t>C0301</t>
  </si>
  <si>
    <t>C0302</t>
  </si>
  <si>
    <t>C0303</t>
  </si>
  <si>
    <t>C0304</t>
  </si>
  <si>
    <t>C0305</t>
  </si>
  <si>
    <t>C0306</t>
  </si>
  <si>
    <t>C0307</t>
  </si>
  <si>
    <t>C0308</t>
  </si>
  <si>
    <t>C0309</t>
  </si>
  <si>
    <t>C0310</t>
  </si>
  <si>
    <t>C0311</t>
  </si>
  <si>
    <t>C0312</t>
  </si>
  <si>
    <t>C0313</t>
  </si>
  <si>
    <t>C0314</t>
  </si>
  <si>
    <t>C0315</t>
  </si>
  <si>
    <t>C0316</t>
  </si>
  <si>
    <t>C0317</t>
  </si>
  <si>
    <t>C0318</t>
  </si>
  <si>
    <t>C0319</t>
  </si>
  <si>
    <t>C0320</t>
  </si>
  <si>
    <t>C0321</t>
  </si>
  <si>
    <t>C0322</t>
  </si>
  <si>
    <t>C0323</t>
  </si>
  <si>
    <t>C0324</t>
  </si>
  <si>
    <t>C0325</t>
  </si>
  <si>
    <t>C0326</t>
  </si>
  <si>
    <t>C0327</t>
  </si>
  <si>
    <t>C0328</t>
  </si>
  <si>
    <t>C0329</t>
  </si>
  <si>
    <t>C0330</t>
  </si>
  <si>
    <t>C0331</t>
  </si>
  <si>
    <t>C0332</t>
  </si>
  <si>
    <t>C0333</t>
  </si>
  <si>
    <t>C0334</t>
  </si>
  <si>
    <t>C0335</t>
  </si>
  <si>
    <t>C0336</t>
  </si>
  <si>
    <t>C0337</t>
  </si>
  <si>
    <t>C0338</t>
  </si>
  <si>
    <t>C0339</t>
  </si>
  <si>
    <t>C0340</t>
  </si>
  <si>
    <t>C0341</t>
  </si>
  <si>
    <t>C0342</t>
  </si>
  <si>
    <t>C0343</t>
  </si>
  <si>
    <t>C0344</t>
  </si>
  <si>
    <t>C0345</t>
  </si>
  <si>
    <t>C0346</t>
  </si>
  <si>
    <t>C0347</t>
  </si>
  <si>
    <t>C0348</t>
  </si>
  <si>
    <t>C0349</t>
  </si>
  <si>
    <t>C0350</t>
  </si>
  <si>
    <t>C0351</t>
  </si>
  <si>
    <t>C0352</t>
  </si>
  <si>
    <t>C0353</t>
  </si>
  <si>
    <t>C0354</t>
  </si>
  <si>
    <t>C0355</t>
  </si>
  <si>
    <t>C0356</t>
  </si>
  <si>
    <t>C0357</t>
  </si>
  <si>
    <t>C0358</t>
  </si>
  <si>
    <t>C0359</t>
  </si>
  <si>
    <t>C0360</t>
  </si>
  <si>
    <t>C0361</t>
  </si>
  <si>
    <t>C0362</t>
  </si>
  <si>
    <t>C0363</t>
  </si>
  <si>
    <t>C0364</t>
  </si>
  <si>
    <t>C0365</t>
  </si>
  <si>
    <t>C0366</t>
  </si>
  <si>
    <t>C0367</t>
  </si>
  <si>
    <t>C0368</t>
  </si>
  <si>
    <t>C0369</t>
  </si>
  <si>
    <t>C0370</t>
  </si>
  <si>
    <t>C0371</t>
  </si>
  <si>
    <t>C0372</t>
  </si>
  <si>
    <t>C0373</t>
  </si>
  <si>
    <t>C0374</t>
  </si>
  <si>
    <t>C0375</t>
  </si>
  <si>
    <t>C0376</t>
  </si>
  <si>
    <t>C0377</t>
  </si>
  <si>
    <t>C0378</t>
  </si>
  <si>
    <t>C0379</t>
  </si>
  <si>
    <t>Riya Reddy</t>
  </si>
  <si>
    <t>C0380</t>
  </si>
  <si>
    <t>C0381</t>
  </si>
  <si>
    <t>C0382</t>
  </si>
  <si>
    <t>C0383</t>
  </si>
  <si>
    <t>C0384</t>
  </si>
  <si>
    <t>C0385</t>
  </si>
  <si>
    <t>C0386</t>
  </si>
  <si>
    <t>C0387</t>
  </si>
  <si>
    <t>C0388</t>
  </si>
  <si>
    <t>C0389</t>
  </si>
  <si>
    <t>C0390</t>
  </si>
  <si>
    <t>C0391</t>
  </si>
  <si>
    <t>C0392</t>
  </si>
  <si>
    <t>C0393</t>
  </si>
  <si>
    <t>C0394</t>
  </si>
  <si>
    <t>C0395</t>
  </si>
  <si>
    <t>C0396</t>
  </si>
  <si>
    <t>C0397</t>
  </si>
  <si>
    <t>C0398</t>
  </si>
  <si>
    <t>C0399</t>
  </si>
  <si>
    <t>C0400</t>
  </si>
  <si>
    <t>C0401</t>
  </si>
  <si>
    <t>C0402</t>
  </si>
  <si>
    <t>C0403</t>
  </si>
  <si>
    <t>C0404</t>
  </si>
  <si>
    <t>C0405</t>
  </si>
  <si>
    <t>C0406</t>
  </si>
  <si>
    <t>C0407</t>
  </si>
  <si>
    <t>C0408</t>
  </si>
  <si>
    <t>C0409</t>
  </si>
  <si>
    <t>C0410</t>
  </si>
  <si>
    <t>C0411</t>
  </si>
  <si>
    <t>C0412</t>
  </si>
  <si>
    <t>C0413</t>
  </si>
  <si>
    <t>C0414</t>
  </si>
  <si>
    <t>C0415</t>
  </si>
  <si>
    <t>C0416</t>
  </si>
  <si>
    <t>C0417</t>
  </si>
  <si>
    <t>C0418</t>
  </si>
  <si>
    <t>C0419</t>
  </si>
  <si>
    <t>C0420</t>
  </si>
  <si>
    <t>C0421</t>
  </si>
  <si>
    <t>C0422</t>
  </si>
  <si>
    <t>C0423</t>
  </si>
  <si>
    <t>C0424</t>
  </si>
  <si>
    <t>C0425</t>
  </si>
  <si>
    <t>C0426</t>
  </si>
  <si>
    <t>C0427</t>
  </si>
  <si>
    <t>C0428</t>
  </si>
  <si>
    <t>C0429</t>
  </si>
  <si>
    <t>C0430</t>
  </si>
  <si>
    <t>C0431</t>
  </si>
  <si>
    <t>C0432</t>
  </si>
  <si>
    <t>C0433</t>
  </si>
  <si>
    <t>C0434</t>
  </si>
  <si>
    <t>C0435</t>
  </si>
  <si>
    <t>C0436</t>
  </si>
  <si>
    <t>C0437</t>
  </si>
  <si>
    <t>C0438</t>
  </si>
  <si>
    <t>C0439</t>
  </si>
  <si>
    <t>C0440</t>
  </si>
  <si>
    <t>C0441</t>
  </si>
  <si>
    <t>C0442</t>
  </si>
  <si>
    <t>C0443</t>
  </si>
  <si>
    <t>C0444</t>
  </si>
  <si>
    <t>C0445</t>
  </si>
  <si>
    <t>C0446</t>
  </si>
  <si>
    <t>C0447</t>
  </si>
  <si>
    <t>C0448</t>
  </si>
  <si>
    <t>C0449</t>
  </si>
  <si>
    <t>C0450</t>
  </si>
  <si>
    <t>C0451</t>
  </si>
  <si>
    <t>C0452</t>
  </si>
  <si>
    <t>C0453</t>
  </si>
  <si>
    <t>C0454</t>
  </si>
  <si>
    <t>C0455</t>
  </si>
  <si>
    <t>C0456</t>
  </si>
  <si>
    <t>C0457</t>
  </si>
  <si>
    <t>C0458</t>
  </si>
  <si>
    <t>C0459</t>
  </si>
  <si>
    <t>C0460</t>
  </si>
  <si>
    <t>C0461</t>
  </si>
  <si>
    <t>C0462</t>
  </si>
  <si>
    <t>C0463</t>
  </si>
  <si>
    <t>C0464</t>
  </si>
  <si>
    <t>C0465</t>
  </si>
  <si>
    <t>C0466</t>
  </si>
  <si>
    <t>C0467</t>
  </si>
  <si>
    <t>C0468</t>
  </si>
  <si>
    <t>C0469</t>
  </si>
  <si>
    <t>C0470</t>
  </si>
  <si>
    <t>C0471</t>
  </si>
  <si>
    <t>C0472</t>
  </si>
  <si>
    <t>C0473</t>
  </si>
  <si>
    <t>C0474</t>
  </si>
  <si>
    <t>C0475</t>
  </si>
  <si>
    <t>C0476</t>
  </si>
  <si>
    <t>C0477</t>
  </si>
  <si>
    <t>C0478</t>
  </si>
  <si>
    <t>C0479</t>
  </si>
  <si>
    <t>C0480</t>
  </si>
  <si>
    <t>C0481</t>
  </si>
  <si>
    <t>C0482</t>
  </si>
  <si>
    <t>C0483</t>
  </si>
  <si>
    <t>C0484</t>
  </si>
  <si>
    <t>C0485</t>
  </si>
  <si>
    <t>C0486</t>
  </si>
  <si>
    <t>C0487</t>
  </si>
  <si>
    <t>C0488</t>
  </si>
  <si>
    <t>C0489</t>
  </si>
  <si>
    <t>C0490</t>
  </si>
  <si>
    <t>C0491</t>
  </si>
  <si>
    <t>C0492</t>
  </si>
  <si>
    <t>C0493</t>
  </si>
  <si>
    <t>C0494</t>
  </si>
  <si>
    <t>C0495</t>
  </si>
  <si>
    <t>C0496</t>
  </si>
  <si>
    <t>C0497</t>
  </si>
  <si>
    <t>C0498</t>
  </si>
  <si>
    <t>C0499</t>
  </si>
  <si>
    <t>C0500</t>
  </si>
  <si>
    <t>Payment Mode</t>
  </si>
  <si>
    <t>Order Date</t>
  </si>
  <si>
    <t>Total Amount</t>
  </si>
  <si>
    <t>Row Labels</t>
  </si>
  <si>
    <t>Grand Total</t>
  </si>
  <si>
    <t>Sum of Quantity</t>
  </si>
  <si>
    <t>Sum of Price</t>
  </si>
  <si>
    <t>Sum of Total Amount</t>
  </si>
  <si>
    <t>Jan</t>
  </si>
  <si>
    <t>Feb</t>
  </si>
  <si>
    <t>Mar</t>
  </si>
  <si>
    <t>Apr</t>
  </si>
  <si>
    <t>May</t>
  </si>
  <si>
    <t>Jun</t>
  </si>
  <si>
    <t>Each Branch Sales</t>
  </si>
  <si>
    <t>Shop Branch</t>
  </si>
  <si>
    <t>Payment</t>
  </si>
  <si>
    <t>JAN</t>
  </si>
  <si>
    <t>FEB</t>
  </si>
  <si>
    <t>MAR</t>
  </si>
  <si>
    <t>APR</t>
  </si>
  <si>
    <t>MAY</t>
  </si>
  <si>
    <t>Purchase Total Amount</t>
  </si>
  <si>
    <t>Month</t>
  </si>
  <si>
    <t>Year</t>
  </si>
  <si>
    <t>JANUARY</t>
  </si>
  <si>
    <t>January</t>
  </si>
  <si>
    <t>March</t>
  </si>
  <si>
    <t>February</t>
  </si>
  <si>
    <t>April</t>
  </si>
  <si>
    <t>June</t>
  </si>
  <si>
    <t>MARCH</t>
  </si>
  <si>
    <t>APRIL</t>
  </si>
  <si>
    <t>FEBRUARY</t>
  </si>
  <si>
    <t>JUNE</t>
  </si>
  <si>
    <t>total</t>
  </si>
  <si>
    <t>Sum of % Contribution</t>
  </si>
  <si>
    <t xml:space="preserve"> Sum Of Product</t>
  </si>
  <si>
    <t xml:space="preserve">JUN </t>
  </si>
  <si>
    <t>SPARKLINE</t>
  </si>
  <si>
    <t>Total</t>
  </si>
  <si>
    <t>PROJECT OBJECTIVE</t>
  </si>
  <si>
    <t>Dataset Size</t>
  </si>
  <si>
    <t>Tool And Features Included</t>
  </si>
  <si>
    <t>THE ONLINE SHOPPING ANALYTICS DASHBOARD 2026</t>
  </si>
  <si>
    <t>Formula Calculation</t>
  </si>
  <si>
    <t>1) Total Sales</t>
  </si>
  <si>
    <t>2) Maximum sales</t>
  </si>
  <si>
    <t>3) Minimum Sales</t>
  </si>
  <si>
    <t>4) Total Orders</t>
  </si>
  <si>
    <t>5)Unique Customers</t>
  </si>
  <si>
    <t>6)Rating Average</t>
  </si>
  <si>
    <t>Vlookup value</t>
  </si>
  <si>
    <t>Hlookup value</t>
  </si>
  <si>
    <t>Product Category</t>
  </si>
  <si>
    <t>7)Index</t>
  </si>
  <si>
    <t>8)Match</t>
  </si>
  <si>
    <t>9)Index Match</t>
  </si>
  <si>
    <t>10) lookup value</t>
  </si>
  <si>
    <t>The Online Shopping Analytics Dashboard</t>
  </si>
  <si>
    <t>11) Len</t>
  </si>
  <si>
    <t>12)upper</t>
  </si>
  <si>
    <t>13)Lower</t>
  </si>
  <si>
    <t>14)Proper</t>
  </si>
  <si>
    <t>15)Left</t>
  </si>
  <si>
    <t>16)Right</t>
  </si>
  <si>
    <t>17)Mid</t>
  </si>
  <si>
    <t>18)Replace</t>
  </si>
  <si>
    <t>19)Date</t>
  </si>
  <si>
    <t>20)Is Text</t>
  </si>
  <si>
    <t>21)concat</t>
  </si>
  <si>
    <t>Pooja singh</t>
  </si>
  <si>
    <t>22)Year</t>
  </si>
  <si>
    <t>23)Drop down</t>
  </si>
  <si>
    <t>NO STOCK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</si>
</sst>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10">
    <font>
      <sz val="11"/>
      <color theme="1"/>
      <name val="Calibri"/>
      <family val="2"/>
      <scheme val="minor"/>
    </font>
    <font>
      <b/>
      <sz val="11"/>
      <name val="Calibri"/>
    </font>
    <font>
      <b/>
      <sz val="16"/>
      <name val="Calibri"/>
    </font>
    <font>
      <b/>
      <sz val="11"/>
      <name val="Calibri"/>
      <family val="2"/>
    </font>
    <font>
      <sz val="8"/>
      <name val="Calibri"/>
      <family val="2"/>
      <scheme val="minor"/>
    </font>
    <font>
      <sz val="20"/>
      <color rgb="FF002060"/>
      <name val="O"/>
    </font>
    <font>
      <b/>
      <sz val="11"/>
      <color theme="1"/>
      <name val="Calibri"/>
      <family val="2"/>
      <scheme val="minor"/>
    </font>
    <font>
      <b/>
      <sz val="14"/>
      <color theme="1"/>
      <name val="Calibri"/>
      <family val="2"/>
      <scheme val="minor"/>
    </font>
    <font>
      <sz val="22"/>
      <color theme="1"/>
      <name val="Calibri"/>
      <family val="2"/>
      <scheme val="minor"/>
    </font>
    <font>
      <b/>
      <sz val="11"/>
      <color theme="1"/>
      <name val="Calibri"/>
      <family val="2"/>
    </font>
  </fonts>
  <fills count="11">
    <fill>
      <patternFill patternType="none"/>
    </fill>
    <fill>
      <patternFill patternType="gray125"/>
    </fill>
    <fill>
      <patternFill patternType="solid">
        <fgColor theme="4" tint="0.79998168889431442"/>
        <bgColor theme="4" tint="0.79998168889431442"/>
      </patternFill>
    </fill>
    <fill>
      <patternFill patternType="solid">
        <fgColor theme="9"/>
        <bgColor indexed="64"/>
      </patternFill>
    </fill>
    <fill>
      <patternFill patternType="solid">
        <fgColor theme="4"/>
        <bgColor theme="4"/>
      </patternFill>
    </fill>
    <fill>
      <patternFill patternType="solid">
        <fgColor theme="4" tint="0.59999389629810485"/>
        <bgColor theme="4" tint="0.59999389629810485"/>
      </patternFill>
    </fill>
    <fill>
      <patternFill patternType="solid">
        <fgColor rgb="FFFFFF00"/>
        <bgColor indexed="64"/>
      </patternFill>
    </fill>
    <fill>
      <patternFill patternType="solid">
        <fgColor theme="7" tint="0.39997558519241921"/>
        <bgColor indexed="64"/>
      </patternFill>
    </fill>
    <fill>
      <patternFill patternType="solid">
        <fgColor theme="6"/>
        <bgColor indexed="64"/>
      </patternFill>
    </fill>
    <fill>
      <patternFill patternType="solid">
        <fgColor theme="6" tint="-0.249977111117893"/>
        <bgColor indexed="64"/>
      </patternFill>
    </fill>
    <fill>
      <patternFill patternType="solid">
        <fgColor rgb="FF00B0F0"/>
        <bgColor indexed="64"/>
      </patternFill>
    </fill>
  </fills>
  <borders count="4">
    <border>
      <left/>
      <right/>
      <top/>
      <bottom/>
      <diagonal/>
    </border>
    <border>
      <left style="thin">
        <color theme="0"/>
      </left>
      <right style="thin">
        <color theme="0"/>
      </right>
      <top/>
      <bottom style="thick">
        <color theme="0"/>
      </bottom>
      <diagonal/>
    </border>
    <border>
      <left style="thin">
        <color theme="0"/>
      </left>
      <right style="thin">
        <color theme="0"/>
      </right>
      <top style="thin">
        <color theme="0"/>
      </top>
      <bottom/>
      <diagonal/>
    </border>
    <border>
      <left style="thin">
        <color theme="0"/>
      </left>
      <right style="thin">
        <color theme="0"/>
      </right>
      <top style="thin">
        <color theme="0"/>
      </top>
      <bottom style="thin">
        <color theme="0"/>
      </bottom>
      <diagonal/>
    </border>
  </borders>
  <cellStyleXfs count="1">
    <xf numFmtId="0" fontId="0" fillId="0" borderId="0"/>
  </cellStyleXfs>
  <cellXfs count="34">
    <xf numFmtId="0" fontId="0" fillId="0" borderId="0" xfId="0"/>
    <xf numFmtId="0" fontId="1" fillId="0" borderId="0" xfId="0" applyFont="1"/>
    <xf numFmtId="0" fontId="2" fillId="0" borderId="0" xfId="0" applyFont="1"/>
    <xf numFmtId="0" fontId="0" fillId="0" borderId="0" xfId="0" pivotButton="1"/>
    <xf numFmtId="0" fontId="0" fillId="0" borderId="0" xfId="0" applyAlignment="1">
      <alignment horizontal="left"/>
    </xf>
    <xf numFmtId="0" fontId="0" fillId="0" borderId="0" xfId="0" applyAlignment="1">
      <alignment horizontal="left" indent="1"/>
    </xf>
    <xf numFmtId="0" fontId="0" fillId="5" borderId="3" xfId="0" applyFill="1" applyBorder="1"/>
    <xf numFmtId="0" fontId="0" fillId="2" borderId="3" xfId="0" applyFill="1" applyBorder="1"/>
    <xf numFmtId="0" fontId="3" fillId="0" borderId="0" xfId="0" applyFont="1"/>
    <xf numFmtId="0" fontId="0" fillId="6" borderId="0" xfId="0" applyFill="1"/>
    <xf numFmtId="164" fontId="0" fillId="0" borderId="0" xfId="0" applyNumberFormat="1"/>
    <xf numFmtId="10" fontId="0" fillId="0" borderId="0" xfId="0" applyNumberFormat="1"/>
    <xf numFmtId="0" fontId="0" fillId="7" borderId="0" xfId="0" applyFill="1"/>
    <xf numFmtId="14" fontId="0" fillId="7" borderId="0" xfId="0" applyNumberFormat="1" applyFill="1"/>
    <xf numFmtId="0" fontId="1" fillId="3" borderId="0" xfId="0" applyFont="1" applyFill="1"/>
    <xf numFmtId="0" fontId="3" fillId="4" borderId="1" xfId="0" applyFont="1" applyFill="1" applyBorder="1"/>
    <xf numFmtId="0" fontId="3" fillId="5" borderId="3" xfId="0" applyFont="1" applyFill="1" applyBorder="1"/>
    <xf numFmtId="0" fontId="3" fillId="2" borderId="3" xfId="0" applyFont="1" applyFill="1" applyBorder="1"/>
    <xf numFmtId="0" fontId="3" fillId="2" borderId="2" xfId="0" applyFont="1" applyFill="1" applyBorder="1"/>
    <xf numFmtId="0" fontId="0" fillId="3" borderId="0" xfId="0" applyFill="1"/>
    <xf numFmtId="0" fontId="6" fillId="0" borderId="0" xfId="0" applyFont="1"/>
    <xf numFmtId="0" fontId="8" fillId="8" borderId="0" xfId="0" applyFont="1" applyFill="1"/>
    <xf numFmtId="0" fontId="0" fillId="8" borderId="0" xfId="0" applyFill="1"/>
    <xf numFmtId="0" fontId="5" fillId="8" borderId="0" xfId="0" applyFont="1" applyFill="1"/>
    <xf numFmtId="0" fontId="3" fillId="3" borderId="0" xfId="0" applyFont="1" applyFill="1"/>
    <xf numFmtId="0" fontId="7" fillId="3" borderId="0" xfId="0" applyFont="1" applyFill="1"/>
    <xf numFmtId="0" fontId="6" fillId="8" borderId="0" xfId="0" applyFont="1" applyFill="1"/>
    <xf numFmtId="0" fontId="9" fillId="3" borderId="0" xfId="0" applyFont="1" applyFill="1"/>
    <xf numFmtId="0" fontId="3" fillId="9" borderId="0" xfId="0" applyFont="1" applyFill="1"/>
    <xf numFmtId="0" fontId="1" fillId="9" borderId="0" xfId="0" applyFont="1" applyFill="1"/>
    <xf numFmtId="14" fontId="0" fillId="0" borderId="0" xfId="0" applyNumberFormat="1"/>
    <xf numFmtId="22" fontId="0" fillId="0" borderId="0" xfId="0" applyNumberFormat="1"/>
    <xf numFmtId="0" fontId="6" fillId="6" borderId="0" xfId="0" applyFont="1" applyFill="1"/>
    <xf numFmtId="0" fontId="6" fillId="10" borderId="0" xfId="0" applyFont="1" applyFill="1"/>
  </cellXfs>
  <cellStyles count="1">
    <cellStyle name="Normal" xfId="0" builtinId="0"/>
  </cellStyles>
  <dxfs count="29">
    <dxf>
      <fill>
        <patternFill>
          <bgColor rgb="FF0070C0"/>
        </patternFill>
      </fill>
    </dxf>
    <dxf>
      <fill>
        <patternFill>
          <bgColor rgb="FF92D050"/>
        </patternFill>
      </fill>
    </dxf>
    <dxf>
      <fill>
        <patternFill>
          <bgColor rgb="FF7030A0"/>
        </patternFill>
      </fill>
    </dxf>
    <dxf>
      <fill>
        <patternFill>
          <bgColor theme="8" tint="-0.24994659260841701"/>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b/>
        <i val="0"/>
        <strike val="0"/>
        <condense val="0"/>
        <extend val="0"/>
        <outline val="0"/>
        <shadow val="0"/>
        <u val="none"/>
        <vertAlign val="baseline"/>
        <sz val="11"/>
        <color auto="1"/>
        <name val="Calibri"/>
        <scheme val="none"/>
      </font>
    </dxf>
    <dxf>
      <font>
        <b/>
        <i val="0"/>
        <strike val="0"/>
        <condense val="0"/>
        <extend val="0"/>
        <outline val="0"/>
        <shadow val="0"/>
        <u val="none"/>
        <vertAlign val="baseline"/>
        <sz val="11"/>
        <color auto="1"/>
        <name val="Calibri"/>
        <scheme val="none"/>
      </font>
    </dxf>
    <dxf>
      <font>
        <b/>
        <i val="0"/>
        <strike val="0"/>
        <condense val="0"/>
        <extend val="0"/>
        <outline val="0"/>
        <shadow val="0"/>
        <u val="none"/>
        <vertAlign val="baseline"/>
        <sz val="11"/>
        <color auto="1"/>
        <name val="Calibri"/>
        <scheme val="none"/>
      </font>
    </dxf>
    <dxf>
      <font>
        <b/>
        <i val="0"/>
        <strike val="0"/>
        <condense val="0"/>
        <extend val="0"/>
        <outline val="0"/>
        <shadow val="0"/>
        <u val="none"/>
        <vertAlign val="baseline"/>
        <sz val="11"/>
        <color auto="1"/>
        <name val="Calibri"/>
        <scheme val="none"/>
      </font>
      <fill>
        <patternFill patternType="solid">
          <fgColor indexed="64"/>
          <bgColor theme="9"/>
        </patternFill>
      </fill>
    </dxf>
    <dxf>
      <font>
        <b/>
        <i val="0"/>
        <strike val="0"/>
        <condense val="0"/>
        <extend val="0"/>
        <outline val="0"/>
        <shadow val="0"/>
        <u val="none"/>
        <vertAlign val="baseline"/>
        <sz val="11"/>
        <color auto="1"/>
        <name val="Calibri"/>
        <scheme val="none"/>
      </font>
      <numFmt numFmtId="19" formatCode="dd/mm/yyyy"/>
    </dxf>
    <dxf>
      <font>
        <b/>
        <i val="0"/>
        <strike val="0"/>
        <condense val="0"/>
        <extend val="0"/>
        <outline val="0"/>
        <shadow val="0"/>
        <u val="none"/>
        <vertAlign val="baseline"/>
        <sz val="11"/>
        <color auto="1"/>
        <name val="Calibri"/>
        <scheme val="none"/>
      </font>
    </dxf>
    <dxf>
      <font>
        <b/>
        <i val="0"/>
        <strike val="0"/>
        <condense val="0"/>
        <extend val="0"/>
        <outline val="0"/>
        <shadow val="0"/>
        <u val="none"/>
        <vertAlign val="baseline"/>
        <sz val="11"/>
        <color auto="1"/>
        <name val="Calibri"/>
        <scheme val="none"/>
      </font>
    </dxf>
    <dxf>
      <font>
        <b/>
        <i val="0"/>
        <strike val="0"/>
        <condense val="0"/>
        <extend val="0"/>
        <outline val="0"/>
        <shadow val="0"/>
        <u val="none"/>
        <vertAlign val="baseline"/>
        <sz val="11"/>
        <color auto="1"/>
        <name val="Calibri"/>
        <scheme val="none"/>
      </font>
    </dxf>
    <dxf>
      <font>
        <b/>
        <i val="0"/>
        <strike val="0"/>
        <condense val="0"/>
        <extend val="0"/>
        <outline val="0"/>
        <shadow val="0"/>
        <u val="none"/>
        <vertAlign val="baseline"/>
        <sz val="11"/>
        <color auto="1"/>
        <name val="Calibri"/>
        <scheme val="none"/>
      </font>
    </dxf>
    <dxf>
      <font>
        <b/>
        <i val="0"/>
        <strike val="0"/>
        <condense val="0"/>
        <extend val="0"/>
        <outline val="0"/>
        <shadow val="0"/>
        <u val="none"/>
        <vertAlign val="baseline"/>
        <sz val="11"/>
        <color auto="1"/>
        <name val="Calibri"/>
        <scheme val="none"/>
      </font>
    </dxf>
    <dxf>
      <font>
        <b/>
        <i val="0"/>
        <strike val="0"/>
        <condense val="0"/>
        <extend val="0"/>
        <outline val="0"/>
        <shadow val="0"/>
        <u val="none"/>
        <vertAlign val="baseline"/>
        <sz val="11"/>
        <color auto="1"/>
        <name val="Calibri"/>
        <scheme val="none"/>
      </font>
    </dxf>
    <dxf>
      <font>
        <b/>
        <i val="0"/>
        <strike val="0"/>
        <condense val="0"/>
        <extend val="0"/>
        <outline val="0"/>
        <shadow val="0"/>
        <u val="none"/>
        <vertAlign val="baseline"/>
        <sz val="11"/>
        <color auto="1"/>
        <name val="Calibri"/>
        <scheme val="none"/>
      </font>
    </dxf>
    <dxf>
      <font>
        <b/>
        <i val="0"/>
        <strike val="0"/>
        <condense val="0"/>
        <extend val="0"/>
        <outline val="0"/>
        <shadow val="0"/>
        <u val="none"/>
        <vertAlign val="baseline"/>
        <sz val="11"/>
        <color auto="1"/>
        <name val="Calibri"/>
        <scheme val="none"/>
      </font>
    </dxf>
    <dxf>
      <font>
        <b/>
        <i val="0"/>
        <strike val="0"/>
        <condense val="0"/>
        <extend val="0"/>
        <outline val="0"/>
        <shadow val="0"/>
        <u val="none"/>
        <vertAlign val="baseline"/>
        <sz val="11"/>
        <color auto="1"/>
        <name val="Calibri"/>
        <scheme val="none"/>
      </font>
      <fill>
        <patternFill patternType="solid">
          <fgColor indexed="64"/>
          <bgColor theme="6" tint="-0.249977111117893"/>
        </patternFill>
      </fill>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fill>
        <patternFill patternType="solid">
          <bgColor theme="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microsoft.com/office/2007/relationships/slicerCache" Target="slicerCaches/slicerCache4.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7.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3.xml"/><Relationship Id="rId25" Type="http://schemas.openxmlformats.org/officeDocument/2006/relationships/styles" Target="styles.xml"/><Relationship Id="rId2" Type="http://schemas.openxmlformats.org/officeDocument/2006/relationships/worksheet" Target="worksheets/sheet2.xml"/><Relationship Id="rId16" Type="http://schemas.microsoft.com/office/2007/relationships/slicerCache" Target="slicerCaches/slicerCache2.xml"/><Relationship Id="rId20" Type="http://schemas.microsoft.com/office/2007/relationships/slicerCache" Target="slicerCaches/slicerCache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microsoft.com/office/2007/relationships/slicerCache" Target="slicerCaches/slicerCache1.xml"/><Relationship Id="rId23" Type="http://schemas.microsoft.com/office/2007/relationships/slicerCache" Target="slicerCaches/slicerCache9.xml"/><Relationship Id="rId28" Type="http://schemas.openxmlformats.org/officeDocument/2006/relationships/customXml" Target="../customXml/item1.xml"/><Relationship Id="rId10" Type="http://schemas.openxmlformats.org/officeDocument/2006/relationships/worksheet" Target="worksheets/sheet10.xml"/><Relationship Id="rId19" Type="http://schemas.microsoft.com/office/2007/relationships/slicerCache" Target="slicerCaches/slicerCache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microsoft.com/office/2007/relationships/slicerCache" Target="slicerCaches/slicerCache8.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[The Online Shopping Analytics Dashboard Project.xlsx]Pivot Chart 1!PivotTable6</c:name>
    <c:fmtId val="2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Online Shopping Sales</a:t>
            </a:r>
          </a:p>
        </c:rich>
      </c:tx>
      <c:layout>
        <c:manualLayout>
          <c:xMode val="edge"/>
          <c:yMode val="edge"/>
          <c:x val="0.25346891351956802"/>
          <c:y val="1.9915243152745432E-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noFill/>
                  </a:ln>
                  <a:solidFill>
                    <a:srgbClr val="00B0F0"/>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00B05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solidFill>
            <a:srgbClr val="FF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solidFill>
            <a:srgbClr val="7030A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solidFill>
            <a:srgbClr val="FFFF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solidFill>
            <a:schemeClr val="accent3"/>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solidFill>
            <a:schemeClr val="accent6">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Chart 1'!$B$2</c:f>
              <c:strCache>
                <c:ptCount val="1"/>
                <c:pt idx="0">
                  <c:v>Total</c:v>
                </c:pt>
              </c:strCache>
            </c:strRef>
          </c:tx>
          <c:dPt>
            <c:idx val="0"/>
            <c:bubble3D val="0"/>
            <c:spPr>
              <a:solidFill>
                <a:schemeClr val="accent6">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6F5E-4045-8A5E-14C0D1C6C0E4}"/>
              </c:ext>
            </c:extLst>
          </c:dPt>
          <c:dPt>
            <c:idx val="1"/>
            <c:bubble3D val="0"/>
            <c:spPr>
              <a:solidFill>
                <a:srgbClr val="00B05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2-6F5E-4045-8A5E-14C0D1C6C0E4}"/>
              </c:ext>
            </c:extLst>
          </c:dPt>
          <c:dPt>
            <c:idx val="2"/>
            <c:bubble3D val="0"/>
            <c:spPr>
              <a:solidFill>
                <a:srgbClr val="FF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6F5E-4045-8A5E-14C0D1C6C0E4}"/>
              </c:ext>
            </c:extLst>
          </c:dPt>
          <c:dPt>
            <c:idx val="3"/>
            <c:bubble3D val="0"/>
            <c:spPr>
              <a:solidFill>
                <a:srgbClr val="7030A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4-6F5E-4045-8A5E-14C0D1C6C0E4}"/>
              </c:ext>
            </c:extLst>
          </c:dPt>
          <c:dPt>
            <c:idx val="4"/>
            <c:bubble3D val="0"/>
            <c:spPr>
              <a:solidFill>
                <a:schemeClr val="accent3"/>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6-6F5E-4045-8A5E-14C0D1C6C0E4}"/>
              </c:ext>
            </c:extLst>
          </c:dPt>
          <c:dPt>
            <c:idx val="5"/>
            <c:bubble3D val="0"/>
            <c:spPr>
              <a:solidFill>
                <a:srgbClr val="FFFF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6F5E-4045-8A5E-14C0D1C6C0E4}"/>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noFill/>
                    </a:ln>
                    <a:solidFill>
                      <a:srgbClr val="00B0F0"/>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Chart 1'!$A$3:$A$9</c:f>
              <c:strCache>
                <c:ptCount val="6"/>
                <c:pt idx="0">
                  <c:v>Accessories</c:v>
                </c:pt>
                <c:pt idx="1">
                  <c:v>Education</c:v>
                </c:pt>
                <c:pt idx="2">
                  <c:v>Electronics</c:v>
                </c:pt>
                <c:pt idx="3">
                  <c:v>Fashion</c:v>
                </c:pt>
                <c:pt idx="4">
                  <c:v>Furniture</c:v>
                </c:pt>
                <c:pt idx="5">
                  <c:v>Home</c:v>
                </c:pt>
              </c:strCache>
            </c:strRef>
          </c:cat>
          <c:val>
            <c:numRef>
              <c:f>'Pivot Chart 1'!$B$3:$B$9</c:f>
              <c:numCache>
                <c:formatCode>General</c:formatCode>
                <c:ptCount val="6"/>
                <c:pt idx="0">
                  <c:v>4559752</c:v>
                </c:pt>
                <c:pt idx="1">
                  <c:v>3218358</c:v>
                </c:pt>
                <c:pt idx="2">
                  <c:v>18051230</c:v>
                </c:pt>
                <c:pt idx="3">
                  <c:v>7071377</c:v>
                </c:pt>
                <c:pt idx="4">
                  <c:v>2105733</c:v>
                </c:pt>
                <c:pt idx="5">
                  <c:v>3567955</c:v>
                </c:pt>
              </c:numCache>
            </c:numRef>
          </c:val>
          <c:extLst>
            <c:ext xmlns:c16="http://schemas.microsoft.com/office/drawing/2014/chart" uri="{C3380CC4-5D6E-409C-BE32-E72D297353CC}">
              <c16:uniqueId val="{00000000-6F5E-4045-8A5E-14C0D1C6C0E4}"/>
            </c:ext>
          </c:extLst>
        </c:ser>
        <c:dLbls>
          <c:showLegendKey val="0"/>
          <c:showVal val="0"/>
          <c:showCatName val="0"/>
          <c:showSerName val="0"/>
          <c:showPercent val="0"/>
          <c:showBubbleSize val="0"/>
          <c:showLeaderLines val="0"/>
        </c:dLbls>
      </c:pie3DChart>
      <c:spPr>
        <a:noFill/>
        <a:ln>
          <a:noFill/>
        </a:ln>
        <a:effectLst/>
      </c:spPr>
    </c:plotArea>
    <c:legend>
      <c:legendPos val="r"/>
      <c:layout>
        <c:manualLayout>
          <c:xMode val="edge"/>
          <c:yMode val="edge"/>
          <c:x val="0.87147418216558548"/>
          <c:y val="0.27929686636284351"/>
          <c:w val="0.11678413485985485"/>
          <c:h val="0.5460240519857014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[The Online Shopping Analytics Dashboard Project.xlsx]Pivot Chart 2!PivotTable7</c:name>
    <c:fmtId val="8"/>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Chart 2'!$B$2</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Chart 2'!$A$3:$A$9</c:f>
              <c:strCache>
                <c:ptCount val="6"/>
                <c:pt idx="0">
                  <c:v>Jan</c:v>
                </c:pt>
                <c:pt idx="1">
                  <c:v>Feb</c:v>
                </c:pt>
                <c:pt idx="2">
                  <c:v>Mar</c:v>
                </c:pt>
                <c:pt idx="3">
                  <c:v>Apr</c:v>
                </c:pt>
                <c:pt idx="4">
                  <c:v>May</c:v>
                </c:pt>
                <c:pt idx="5">
                  <c:v>Jun</c:v>
                </c:pt>
              </c:strCache>
            </c:strRef>
          </c:cat>
          <c:val>
            <c:numRef>
              <c:f>'Pivot Chart 2'!$B$3:$B$9</c:f>
              <c:numCache>
                <c:formatCode>General</c:formatCode>
                <c:ptCount val="6"/>
                <c:pt idx="0">
                  <c:v>9229930</c:v>
                </c:pt>
                <c:pt idx="1">
                  <c:v>6009441</c:v>
                </c:pt>
                <c:pt idx="2">
                  <c:v>6770966</c:v>
                </c:pt>
                <c:pt idx="3">
                  <c:v>5819990</c:v>
                </c:pt>
                <c:pt idx="4">
                  <c:v>7171131</c:v>
                </c:pt>
                <c:pt idx="5">
                  <c:v>3572947</c:v>
                </c:pt>
              </c:numCache>
            </c:numRef>
          </c:val>
          <c:smooth val="0"/>
          <c:extLst>
            <c:ext xmlns:c16="http://schemas.microsoft.com/office/drawing/2014/chart" uri="{C3380CC4-5D6E-409C-BE32-E72D297353CC}">
              <c16:uniqueId val="{00000000-2CD0-4C58-AD7B-230841DB3479}"/>
            </c:ext>
          </c:extLst>
        </c:ser>
        <c:dLbls>
          <c:showLegendKey val="0"/>
          <c:showVal val="0"/>
          <c:showCatName val="0"/>
          <c:showSerName val="0"/>
          <c:showPercent val="0"/>
          <c:showBubbleSize val="0"/>
        </c:dLbls>
        <c:marker val="1"/>
        <c:smooth val="0"/>
        <c:axId val="1967232447"/>
        <c:axId val="1967233407"/>
      </c:lineChart>
      <c:catAx>
        <c:axId val="1967232447"/>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67233407"/>
        <c:crosses val="autoZero"/>
        <c:auto val="1"/>
        <c:lblAlgn val="ctr"/>
        <c:lblOffset val="100"/>
        <c:noMultiLvlLbl val="0"/>
      </c:catAx>
      <c:valAx>
        <c:axId val="196723340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67232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[The Online Shopping Analytics Dashboard Project.xlsx]Pivot Table 3!PivotTable8</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Branch Wise 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solidFill>
              <a:schemeClr val="accent5"/>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solidFill>
              <a:schemeClr val="accent5"/>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solidFill>
              <a:schemeClr val="accent4"/>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solidFill>
              <a:schemeClr val="accent5"/>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solidFill>
              <a:schemeClr val="accent5"/>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solidFill>
              <a:schemeClr val="accent5"/>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solidFill>
              <a:schemeClr val="accent5"/>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solidFill>
              <a:schemeClr val="accent5"/>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barChart>
        <c:barDir val="col"/>
        <c:grouping val="percentStacked"/>
        <c:varyColors val="0"/>
        <c:ser>
          <c:idx val="0"/>
          <c:order val="0"/>
          <c:tx>
            <c:strRef>
              <c:f>'Pivot Table 3'!$B$1</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solidFill>
                <a:schemeClr val="accent5"/>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1"/>
            <c:invertIfNegative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solidFill>
                  <a:schemeClr val="accent4"/>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FBAE-4252-BA73-724379F01A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3'!$A$2:$A$9</c:f>
              <c:strCache>
                <c:ptCount val="7"/>
                <c:pt idx="0">
                  <c:v>Bangalore</c:v>
                </c:pt>
                <c:pt idx="1">
                  <c:v>Chennai</c:v>
                </c:pt>
                <c:pt idx="2">
                  <c:v>Delhi</c:v>
                </c:pt>
                <c:pt idx="3">
                  <c:v>Hyderabad</c:v>
                </c:pt>
                <c:pt idx="4">
                  <c:v>Kolkata</c:v>
                </c:pt>
                <c:pt idx="5">
                  <c:v>Mumbai</c:v>
                </c:pt>
                <c:pt idx="6">
                  <c:v>Pune</c:v>
                </c:pt>
              </c:strCache>
            </c:strRef>
          </c:cat>
          <c:val>
            <c:numRef>
              <c:f>'Pivot Table 3'!$B$2:$B$9</c:f>
              <c:numCache>
                <c:formatCode>General</c:formatCode>
                <c:ptCount val="7"/>
                <c:pt idx="0">
                  <c:v>5370704</c:v>
                </c:pt>
                <c:pt idx="1">
                  <c:v>6086266</c:v>
                </c:pt>
                <c:pt idx="2">
                  <c:v>5161477</c:v>
                </c:pt>
                <c:pt idx="3">
                  <c:v>4976827</c:v>
                </c:pt>
                <c:pt idx="4">
                  <c:v>5600672</c:v>
                </c:pt>
                <c:pt idx="5">
                  <c:v>5174869</c:v>
                </c:pt>
                <c:pt idx="6">
                  <c:v>6203590</c:v>
                </c:pt>
              </c:numCache>
            </c:numRef>
          </c:val>
          <c:extLst>
            <c:ext xmlns:c16="http://schemas.microsoft.com/office/drawing/2014/chart" uri="{C3380CC4-5D6E-409C-BE32-E72D297353CC}">
              <c16:uniqueId val="{00000000-FBAE-4252-BA73-724379F01A16}"/>
            </c:ext>
          </c:extLst>
        </c:ser>
        <c:dLbls>
          <c:dLblPos val="ctr"/>
          <c:showLegendKey val="0"/>
          <c:showVal val="1"/>
          <c:showCatName val="0"/>
          <c:showSerName val="0"/>
          <c:showPercent val="0"/>
          <c:showBubbleSize val="0"/>
        </c:dLbls>
        <c:gapWidth val="150"/>
        <c:overlap val="100"/>
        <c:axId val="1829962559"/>
        <c:axId val="1829963039"/>
      </c:barChart>
      <c:catAx>
        <c:axId val="182996255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9963039"/>
        <c:crosses val="autoZero"/>
        <c:auto val="1"/>
        <c:lblAlgn val="ctr"/>
        <c:lblOffset val="100"/>
        <c:noMultiLvlLbl val="0"/>
      </c:catAx>
      <c:valAx>
        <c:axId val="18299630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9962559"/>
        <c:crosses val="autoZero"/>
        <c:crossBetween val="between"/>
      </c:valAx>
      <c:dTable>
        <c:showHorzBorder val="1"/>
        <c:showVertBorder val="1"/>
        <c:showOutline val="1"/>
        <c:showKeys val="1"/>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[The Online Shopping Analytics Dashboard Project.xlsx]Pivot Table 4!PivotTable16</c:name>
    <c:fmtId val="6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NO.1 Online Customer Sales %Contribution</a:t>
            </a:r>
          </a:p>
        </c:rich>
      </c:tx>
      <c:overlay val="0"/>
      <c:spPr>
        <a:noFill/>
        <a:ln>
          <a:noFill/>
        </a:ln>
        <a:effectLst/>
      </c:sp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elete val="1"/>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elete val="1"/>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elete val="1"/>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elete val="1"/>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elete val="1"/>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elete val="1"/>
          <c:extLst>
            <c:ext xmlns:c15="http://schemas.microsoft.com/office/drawing/2012/chart" uri="{CE6537A1-D6FC-4f65-9D91-7224C49458BB}"/>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elete val="1"/>
          <c:extLst>
            <c:ext xmlns:c15="http://schemas.microsoft.com/office/drawing/2012/chart" uri="{CE6537A1-D6FC-4f65-9D91-7224C49458BB}"/>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'Pivot Table 4'!$B$3</c:f>
              <c:strCache>
                <c:ptCount val="1"/>
                <c:pt idx="0">
                  <c:v> Sum Of Product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 4'!$A$4:$A$17</c:f>
              <c:strCache>
                <c:ptCount val="13"/>
                <c:pt idx="0">
                  <c:v>Bag</c:v>
                </c:pt>
                <c:pt idx="1">
                  <c:v>Book</c:v>
                </c:pt>
                <c:pt idx="2">
                  <c:v>Chair</c:v>
                </c:pt>
                <c:pt idx="3">
                  <c:v>Headphones</c:v>
                </c:pt>
                <c:pt idx="4">
                  <c:v>Keyboard</c:v>
                </c:pt>
                <c:pt idx="5">
                  <c:v>Laptop</c:v>
                </c:pt>
                <c:pt idx="6">
                  <c:v>Mixer</c:v>
                </c:pt>
                <c:pt idx="7">
                  <c:v>Mobile</c:v>
                </c:pt>
                <c:pt idx="8">
                  <c:v>Shoes</c:v>
                </c:pt>
                <c:pt idx="9">
                  <c:v>Tablet</c:v>
                </c:pt>
                <c:pt idx="10">
                  <c:v>total</c:v>
                </c:pt>
                <c:pt idx="11">
                  <c:v>T-Shirt</c:v>
                </c:pt>
                <c:pt idx="12">
                  <c:v>Watch</c:v>
                </c:pt>
              </c:strCache>
            </c:strRef>
          </c:cat>
          <c:val>
            <c:numRef>
              <c:f>'Pivot Table 4'!$B$4:$B$17</c:f>
              <c:numCache>
                <c:formatCode>General</c:formatCode>
                <c:ptCount val="13"/>
                <c:pt idx="0">
                  <c:v>2064608</c:v>
                </c:pt>
                <c:pt idx="1">
                  <c:v>3218358</c:v>
                </c:pt>
                <c:pt idx="2">
                  <c:v>2105733</c:v>
                </c:pt>
                <c:pt idx="3">
                  <c:v>3711749</c:v>
                </c:pt>
                <c:pt idx="4">
                  <c:v>2773395</c:v>
                </c:pt>
                <c:pt idx="5">
                  <c:v>3695395</c:v>
                </c:pt>
                <c:pt idx="6">
                  <c:v>3567955</c:v>
                </c:pt>
                <c:pt idx="7">
                  <c:v>4702760</c:v>
                </c:pt>
                <c:pt idx="8">
                  <c:v>3375138</c:v>
                </c:pt>
                <c:pt idx="9">
                  <c:v>3167931</c:v>
                </c:pt>
                <c:pt idx="10">
                  <c:v>38574405</c:v>
                </c:pt>
                <c:pt idx="11">
                  <c:v>3696239</c:v>
                </c:pt>
                <c:pt idx="12">
                  <c:v>2495144</c:v>
                </c:pt>
              </c:numCache>
            </c:numRef>
          </c:val>
          <c:extLst>
            <c:ext xmlns:c16="http://schemas.microsoft.com/office/drawing/2014/chart" uri="{C3380CC4-5D6E-409C-BE32-E72D297353CC}">
              <c16:uniqueId val="{0000001E-8026-4D64-A533-67D8101F495F}"/>
            </c:ext>
          </c:extLst>
        </c:ser>
        <c:ser>
          <c:idx val="1"/>
          <c:order val="1"/>
          <c:tx>
            <c:strRef>
              <c:f>'Pivot Table 4'!$C$3</c:f>
              <c:strCache>
                <c:ptCount val="1"/>
                <c:pt idx="0">
                  <c:v>Sum of % Contribution</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'Pivot Table 4'!$A$4:$A$17</c:f>
              <c:strCache>
                <c:ptCount val="13"/>
                <c:pt idx="0">
                  <c:v>Bag</c:v>
                </c:pt>
                <c:pt idx="1">
                  <c:v>Book</c:v>
                </c:pt>
                <c:pt idx="2">
                  <c:v>Chair</c:v>
                </c:pt>
                <c:pt idx="3">
                  <c:v>Headphones</c:v>
                </c:pt>
                <c:pt idx="4">
                  <c:v>Keyboard</c:v>
                </c:pt>
                <c:pt idx="5">
                  <c:v>Laptop</c:v>
                </c:pt>
                <c:pt idx="6">
                  <c:v>Mixer</c:v>
                </c:pt>
                <c:pt idx="7">
                  <c:v>Mobile</c:v>
                </c:pt>
                <c:pt idx="8">
                  <c:v>Shoes</c:v>
                </c:pt>
                <c:pt idx="9">
                  <c:v>Tablet</c:v>
                </c:pt>
                <c:pt idx="10">
                  <c:v>total</c:v>
                </c:pt>
                <c:pt idx="11">
                  <c:v>T-Shirt</c:v>
                </c:pt>
                <c:pt idx="12">
                  <c:v>Watch</c:v>
                </c:pt>
              </c:strCache>
            </c:strRef>
          </c:cat>
          <c:val>
            <c:numRef>
              <c:f>'Pivot Table 4'!$C$4:$C$17</c:f>
              <c:numCache>
                <c:formatCode>0.00%</c:formatCode>
                <c:ptCount val="13"/>
                <c:pt idx="0">
                  <c:v>5.352274390233628E-2</c:v>
                </c:pt>
                <c:pt idx="1">
                  <c:v>8.3432472905285257E-2</c:v>
                </c:pt>
                <c:pt idx="2">
                  <c:v>5.4588865337002607E-2</c:v>
                </c:pt>
                <c:pt idx="3">
                  <c:v>9.622310441340573E-2</c:v>
                </c:pt>
                <c:pt idx="4">
                  <c:v>7.1897285259487478E-2</c:v>
                </c:pt>
                <c:pt idx="5">
                  <c:v>9.5799144536383649E-2</c:v>
                </c:pt>
                <c:pt idx="6">
                  <c:v>9.2495399475377521E-2</c:v>
                </c:pt>
                <c:pt idx="7">
                  <c:v>0.12191399971042975</c:v>
                </c:pt>
                <c:pt idx="8">
                  <c:v>8.7496825939376119E-2</c:v>
                </c:pt>
                <c:pt idx="9">
                  <c:v>8.2125207115961996E-2</c:v>
                </c:pt>
                <c:pt idx="10">
                  <c:v>1</c:v>
                </c:pt>
                <c:pt idx="11">
                  <c:v>9.5821024329474425E-2</c:v>
                </c:pt>
                <c:pt idx="12">
                  <c:v>6.4683927075479195E-2</c:v>
                </c:pt>
              </c:numCache>
            </c:numRef>
          </c:val>
          <c:extLst>
            <c:ext xmlns:c16="http://schemas.microsoft.com/office/drawing/2014/chart" uri="{C3380CC4-5D6E-409C-BE32-E72D297353CC}">
              <c16:uniqueId val="{00000020-8026-4D64-A533-67D8101F495F}"/>
            </c:ext>
          </c:extLst>
        </c:ser>
        <c:dLbls>
          <c:showLegendKey val="0"/>
          <c:showVal val="0"/>
          <c:showCatName val="0"/>
          <c:showSerName val="0"/>
          <c:showPercent val="0"/>
          <c:showBubbleSize val="0"/>
        </c:dLbls>
        <c:gapWidth val="100"/>
        <c:axId val="2042849103"/>
        <c:axId val="2042850063"/>
      </c:barChart>
      <c:catAx>
        <c:axId val="2042849103"/>
        <c:scaling>
          <c:orientation val="maxMin"/>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42850063"/>
        <c:crosses val="autoZero"/>
        <c:auto val="1"/>
        <c:lblAlgn val="ctr"/>
        <c:lblOffset val="100"/>
        <c:noMultiLvlLbl val="0"/>
      </c:catAx>
      <c:valAx>
        <c:axId val="2042850063"/>
        <c:scaling>
          <c:orientation val="minMax"/>
        </c:scaling>
        <c:delete val="0"/>
        <c:axPos val="t"/>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42849103"/>
        <c:crosses val="autoZero"/>
        <c:crossBetween val="between"/>
      </c:valAx>
      <c:spPr>
        <a:noFill/>
        <a:ln>
          <a:noFill/>
        </a:ln>
        <a:effectLst/>
      </c:spPr>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[The Online Shopping Analytics Dashboard Project.xlsx]Pivot Chart 2!PivotTable7</c:name>
    <c:fmtId val="20"/>
  </c:pivotSource>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US"/>
              <a:t>Total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Chart 2'!$B$2</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Chart 2'!$A$3:$A$9</c:f>
              <c:strCache>
                <c:ptCount val="6"/>
                <c:pt idx="0">
                  <c:v>Jan</c:v>
                </c:pt>
                <c:pt idx="1">
                  <c:v>Feb</c:v>
                </c:pt>
                <c:pt idx="2">
                  <c:v>Mar</c:v>
                </c:pt>
                <c:pt idx="3">
                  <c:v>Apr</c:v>
                </c:pt>
                <c:pt idx="4">
                  <c:v>May</c:v>
                </c:pt>
                <c:pt idx="5">
                  <c:v>Jun</c:v>
                </c:pt>
              </c:strCache>
            </c:strRef>
          </c:cat>
          <c:val>
            <c:numRef>
              <c:f>'Pivot Chart 2'!$B$3:$B$9</c:f>
              <c:numCache>
                <c:formatCode>General</c:formatCode>
                <c:ptCount val="6"/>
                <c:pt idx="0">
                  <c:v>9229930</c:v>
                </c:pt>
                <c:pt idx="1">
                  <c:v>6009441</c:v>
                </c:pt>
                <c:pt idx="2">
                  <c:v>6770966</c:v>
                </c:pt>
                <c:pt idx="3">
                  <c:v>5819990</c:v>
                </c:pt>
                <c:pt idx="4">
                  <c:v>7171131</c:v>
                </c:pt>
                <c:pt idx="5">
                  <c:v>3572947</c:v>
                </c:pt>
              </c:numCache>
            </c:numRef>
          </c:val>
          <c:smooth val="0"/>
          <c:extLst>
            <c:ext xmlns:c16="http://schemas.microsoft.com/office/drawing/2014/chart" uri="{C3380CC4-5D6E-409C-BE32-E72D297353CC}">
              <c16:uniqueId val="{00000000-3503-4185-B5C0-6AD851A0B871}"/>
            </c:ext>
          </c:extLst>
        </c:ser>
        <c:dLbls>
          <c:showLegendKey val="0"/>
          <c:showVal val="0"/>
          <c:showCatName val="0"/>
          <c:showSerName val="0"/>
          <c:showPercent val="0"/>
          <c:showBubbleSize val="0"/>
        </c:dLbls>
        <c:marker val="1"/>
        <c:smooth val="0"/>
        <c:axId val="1967232447"/>
        <c:axId val="1967233407"/>
      </c:lineChart>
      <c:catAx>
        <c:axId val="196723244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67233407"/>
        <c:crosses val="autoZero"/>
        <c:auto val="1"/>
        <c:lblAlgn val="ctr"/>
        <c:lblOffset val="100"/>
        <c:noMultiLvlLbl val="0"/>
      </c:catAx>
      <c:valAx>
        <c:axId val="196723340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67232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[The Online Shopping Analytics Dashboard Project.xlsx]Pivot Chart 1!PivotTable6</c:name>
    <c:fmtId val="4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Category Sales List</a:t>
            </a:r>
          </a:p>
        </c:rich>
      </c:tx>
      <c:layout>
        <c:manualLayout>
          <c:xMode val="edge"/>
          <c:yMode val="edge"/>
          <c:x val="0.25346891351956802"/>
          <c:y val="1.9915243152745432E-3"/>
        </c:manualLayout>
      </c:layout>
      <c:overlay val="0"/>
      <c:spPr>
        <a:solidFill>
          <a:schemeClr val="tx2"/>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noFill/>
                  </a:ln>
                  <a:solidFill>
                    <a:srgbClr val="00B0F0"/>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00B05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solidFill>
            <a:srgbClr val="FF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solidFill>
            <a:srgbClr val="7030A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solidFill>
            <a:srgbClr val="FFFF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solidFill>
            <a:schemeClr val="accent3"/>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solidFill>
            <a:schemeClr val="accent6">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noFill/>
                  </a:ln>
                  <a:solidFill>
                    <a:srgbClr val="00B0F0"/>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6">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solidFill>
            <a:srgbClr val="00B05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solidFill>
            <a:srgbClr val="FF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solidFill>
            <a:srgbClr val="7030A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solidFill>
            <a:schemeClr val="accent3"/>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solidFill>
            <a:srgbClr val="FFFF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noFill/>
                  </a:ln>
                  <a:solidFill>
                    <a:srgbClr val="00B0F0"/>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6">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solidFill>
            <a:srgbClr val="00B05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
        <c:spPr>
          <a:solidFill>
            <a:srgbClr val="FF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
        <c:spPr>
          <a:solidFill>
            <a:srgbClr val="7030A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
        <c:spPr>
          <a:solidFill>
            <a:schemeClr val="accent3"/>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
        <c:spPr>
          <a:solidFill>
            <a:srgbClr val="FFFF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noFill/>
                  </a:ln>
                  <a:solidFill>
                    <a:srgbClr val="00B0F0"/>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accent6">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3"/>
        <c:spPr>
          <a:solidFill>
            <a:srgbClr val="00B05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4"/>
        <c:spPr>
          <a:solidFill>
            <a:srgbClr val="FF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5"/>
        <c:spPr>
          <a:solidFill>
            <a:srgbClr val="7030A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6"/>
        <c:spPr>
          <a:solidFill>
            <a:schemeClr val="accent3"/>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7"/>
        <c:spPr>
          <a:solidFill>
            <a:srgbClr val="FFFF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noFill/>
                  </a:ln>
                  <a:solidFill>
                    <a:srgbClr val="00B0F0"/>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9"/>
        <c:spPr>
          <a:solidFill>
            <a:schemeClr val="accent6">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0"/>
        <c:spPr>
          <a:solidFill>
            <a:srgbClr val="00B05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1"/>
        <c:spPr>
          <a:solidFill>
            <a:srgbClr val="FF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2"/>
        <c:spPr>
          <a:solidFill>
            <a:srgbClr val="7030A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3"/>
        <c:spPr>
          <a:solidFill>
            <a:schemeClr val="accent3"/>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4"/>
        <c:spPr>
          <a:solidFill>
            <a:srgbClr val="FFFF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Chart 1'!$B$2</c:f>
              <c:strCache>
                <c:ptCount val="1"/>
                <c:pt idx="0">
                  <c:v>Total</c:v>
                </c:pt>
              </c:strCache>
            </c:strRef>
          </c:tx>
          <c:dPt>
            <c:idx val="0"/>
            <c:bubble3D val="0"/>
            <c:spPr>
              <a:solidFill>
                <a:schemeClr val="accent6">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EF3E-4929-AF19-31538760A8BE}"/>
              </c:ext>
            </c:extLst>
          </c:dPt>
          <c:dPt>
            <c:idx val="1"/>
            <c:bubble3D val="0"/>
            <c:spPr>
              <a:solidFill>
                <a:srgbClr val="00B05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EF3E-4929-AF19-31538760A8BE}"/>
              </c:ext>
            </c:extLst>
          </c:dPt>
          <c:dPt>
            <c:idx val="2"/>
            <c:bubble3D val="0"/>
            <c:spPr>
              <a:solidFill>
                <a:srgbClr val="FF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EF3E-4929-AF19-31538760A8BE}"/>
              </c:ext>
            </c:extLst>
          </c:dPt>
          <c:dPt>
            <c:idx val="3"/>
            <c:bubble3D val="0"/>
            <c:spPr>
              <a:solidFill>
                <a:srgbClr val="7030A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EF3E-4929-AF19-31538760A8BE}"/>
              </c:ext>
            </c:extLst>
          </c:dPt>
          <c:dPt>
            <c:idx val="4"/>
            <c:bubble3D val="0"/>
            <c:spPr>
              <a:solidFill>
                <a:schemeClr val="accent3"/>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EF3E-4929-AF19-31538760A8BE}"/>
              </c:ext>
            </c:extLst>
          </c:dPt>
          <c:dPt>
            <c:idx val="5"/>
            <c:bubble3D val="0"/>
            <c:spPr>
              <a:solidFill>
                <a:srgbClr val="FFFF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EF3E-4929-AF19-31538760A8BE}"/>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noFill/>
                    </a:ln>
                    <a:solidFill>
                      <a:srgbClr val="00B0F0"/>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Chart 1'!$A$3:$A$9</c:f>
              <c:strCache>
                <c:ptCount val="6"/>
                <c:pt idx="0">
                  <c:v>Accessories</c:v>
                </c:pt>
                <c:pt idx="1">
                  <c:v>Education</c:v>
                </c:pt>
                <c:pt idx="2">
                  <c:v>Electronics</c:v>
                </c:pt>
                <c:pt idx="3">
                  <c:v>Fashion</c:v>
                </c:pt>
                <c:pt idx="4">
                  <c:v>Furniture</c:v>
                </c:pt>
                <c:pt idx="5">
                  <c:v>Home</c:v>
                </c:pt>
              </c:strCache>
            </c:strRef>
          </c:cat>
          <c:val>
            <c:numRef>
              <c:f>'Pivot Chart 1'!$B$3:$B$9</c:f>
              <c:numCache>
                <c:formatCode>General</c:formatCode>
                <c:ptCount val="6"/>
                <c:pt idx="0">
                  <c:v>4559752</c:v>
                </c:pt>
                <c:pt idx="1">
                  <c:v>3218358</c:v>
                </c:pt>
                <c:pt idx="2">
                  <c:v>18051230</c:v>
                </c:pt>
                <c:pt idx="3">
                  <c:v>7071377</c:v>
                </c:pt>
                <c:pt idx="4">
                  <c:v>2105733</c:v>
                </c:pt>
                <c:pt idx="5">
                  <c:v>3567955</c:v>
                </c:pt>
              </c:numCache>
            </c:numRef>
          </c:val>
          <c:extLst>
            <c:ext xmlns:c16="http://schemas.microsoft.com/office/drawing/2014/chart" uri="{C3380CC4-5D6E-409C-BE32-E72D297353CC}">
              <c16:uniqueId val="{0000000C-EF3E-4929-AF19-31538760A8BE}"/>
            </c:ext>
          </c:extLst>
        </c:ser>
        <c:dLbls>
          <c:showLegendKey val="0"/>
          <c:showVal val="0"/>
          <c:showCatName val="0"/>
          <c:showSerName val="0"/>
          <c:showPercent val="0"/>
          <c:showBubbleSize val="0"/>
          <c:showLeaderLines val="0"/>
        </c:dLbls>
      </c:pie3DChart>
      <c:spPr>
        <a:noFill/>
        <a:ln>
          <a:noFill/>
        </a:ln>
        <a:effectLst/>
      </c:spPr>
    </c:plotArea>
    <c:legend>
      <c:legendPos val="r"/>
      <c:layout>
        <c:manualLayout>
          <c:xMode val="edge"/>
          <c:yMode val="edge"/>
          <c:x val="0.82429200937038838"/>
          <c:y val="0.27929686636284351"/>
          <c:w val="0.1639663161370884"/>
          <c:h val="0.54602405198570148"/>
        </c:manualLayout>
      </c:layout>
      <c:overlay val="0"/>
      <c:spPr>
        <a:solidFill>
          <a:schemeClr val="tx1"/>
        </a:solid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[The Online Shopping Analytics Dashboard Project.xlsx]Pivot Table 3!PivotTable8</c:name>
    <c:fmtId val="2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Each Branch 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solidFill>
              <a:schemeClr val="accent5"/>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solidFill>
              <a:schemeClr val="accent5"/>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solidFill>
              <a:schemeClr val="accent4"/>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solidFill>
              <a:schemeClr val="accent5"/>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solidFill>
              <a:schemeClr val="accent5"/>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solidFill>
              <a:schemeClr val="accent5"/>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solidFill>
              <a:schemeClr val="accent5"/>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solidFill>
              <a:schemeClr val="accent5"/>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solidFill>
              <a:schemeClr val="accent5"/>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solidFill>
              <a:schemeClr val="accent4"/>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solidFill>
              <a:schemeClr val="accent5"/>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solidFill>
              <a:schemeClr val="accent4"/>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solidFill>
              <a:schemeClr val="accent5"/>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solidFill>
              <a:schemeClr val="accent4"/>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solidFill>
              <a:schemeClr val="accent5"/>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solidFill>
              <a:schemeClr val="accent4"/>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barChart>
        <c:barDir val="col"/>
        <c:grouping val="percentStacked"/>
        <c:varyColors val="0"/>
        <c:ser>
          <c:idx val="0"/>
          <c:order val="0"/>
          <c:tx>
            <c:strRef>
              <c:f>'Pivot Table 3'!$B$1</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solidFill>
                <a:schemeClr val="accent5"/>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1"/>
            <c:invertIfNegative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solidFill>
                  <a:schemeClr val="accent4"/>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F383-41D6-8CC5-7C60B498757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3'!$A$2:$A$9</c:f>
              <c:strCache>
                <c:ptCount val="7"/>
                <c:pt idx="0">
                  <c:v>Bangalore</c:v>
                </c:pt>
                <c:pt idx="1">
                  <c:v>Chennai</c:v>
                </c:pt>
                <c:pt idx="2">
                  <c:v>Delhi</c:v>
                </c:pt>
                <c:pt idx="3">
                  <c:v>Hyderabad</c:v>
                </c:pt>
                <c:pt idx="4">
                  <c:v>Kolkata</c:v>
                </c:pt>
                <c:pt idx="5">
                  <c:v>Mumbai</c:v>
                </c:pt>
                <c:pt idx="6">
                  <c:v>Pune</c:v>
                </c:pt>
              </c:strCache>
            </c:strRef>
          </c:cat>
          <c:val>
            <c:numRef>
              <c:f>'Pivot Table 3'!$B$2:$B$9</c:f>
              <c:numCache>
                <c:formatCode>General</c:formatCode>
                <c:ptCount val="7"/>
                <c:pt idx="0">
                  <c:v>5370704</c:v>
                </c:pt>
                <c:pt idx="1">
                  <c:v>6086266</c:v>
                </c:pt>
                <c:pt idx="2">
                  <c:v>5161477</c:v>
                </c:pt>
                <c:pt idx="3">
                  <c:v>4976827</c:v>
                </c:pt>
                <c:pt idx="4">
                  <c:v>5600672</c:v>
                </c:pt>
                <c:pt idx="5">
                  <c:v>5174869</c:v>
                </c:pt>
                <c:pt idx="6">
                  <c:v>6203590</c:v>
                </c:pt>
              </c:numCache>
            </c:numRef>
          </c:val>
          <c:extLst>
            <c:ext xmlns:c16="http://schemas.microsoft.com/office/drawing/2014/chart" uri="{C3380CC4-5D6E-409C-BE32-E72D297353CC}">
              <c16:uniqueId val="{00000002-F383-41D6-8CC5-7C60B4987571}"/>
            </c:ext>
          </c:extLst>
        </c:ser>
        <c:dLbls>
          <c:dLblPos val="ctr"/>
          <c:showLegendKey val="0"/>
          <c:showVal val="1"/>
          <c:showCatName val="0"/>
          <c:showSerName val="0"/>
          <c:showPercent val="0"/>
          <c:showBubbleSize val="0"/>
        </c:dLbls>
        <c:gapWidth val="150"/>
        <c:overlap val="100"/>
        <c:axId val="1829962559"/>
        <c:axId val="1829963039"/>
      </c:barChart>
      <c:catAx>
        <c:axId val="1829962559"/>
        <c:scaling>
          <c:orientation val="minMax"/>
        </c:scaling>
        <c:delete val="0"/>
        <c:axPos val="b"/>
        <c:numFmt formatCode="General" sourceLinked="1"/>
        <c:majorTickMark val="none"/>
        <c:minorTickMark val="none"/>
        <c:tickLblPos val="nextTo"/>
        <c:spPr>
          <a:solidFill>
            <a:schemeClr val="tx1"/>
          </a:solidFill>
          <a:ln w="12700"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9963039"/>
        <c:crosses val="autoZero"/>
        <c:auto val="1"/>
        <c:lblAlgn val="ctr"/>
        <c:lblOffset val="100"/>
        <c:noMultiLvlLbl val="0"/>
      </c:catAx>
      <c:valAx>
        <c:axId val="18299630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9962559"/>
        <c:crosses val="autoZero"/>
        <c:crossBetween val="between"/>
      </c:valAx>
      <c:dTable>
        <c:showHorzBorder val="1"/>
        <c:showVertBorder val="1"/>
        <c:showOutline val="1"/>
        <c:showKeys val="1"/>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[The Online Shopping Analytics Dashboard Project.xlsx]Pivot Table 4!PivotTable16</c:name>
    <c:fmtId val="3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NO.1</a:t>
            </a:r>
            <a:r>
              <a:rPr lang="en-IN" baseline="0"/>
              <a:t> Online Customer Sales %Contribution</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4'!$B$3</c:f>
              <c:strCache>
                <c:ptCount val="1"/>
                <c:pt idx="0">
                  <c:v> Sum Of Product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 4'!$A$4:$A$17</c:f>
              <c:strCache>
                <c:ptCount val="13"/>
                <c:pt idx="0">
                  <c:v>Bag</c:v>
                </c:pt>
                <c:pt idx="1">
                  <c:v>Book</c:v>
                </c:pt>
                <c:pt idx="2">
                  <c:v>Chair</c:v>
                </c:pt>
                <c:pt idx="3">
                  <c:v>Headphones</c:v>
                </c:pt>
                <c:pt idx="4">
                  <c:v>Keyboard</c:v>
                </c:pt>
                <c:pt idx="5">
                  <c:v>Laptop</c:v>
                </c:pt>
                <c:pt idx="6">
                  <c:v>Mixer</c:v>
                </c:pt>
                <c:pt idx="7">
                  <c:v>Mobile</c:v>
                </c:pt>
                <c:pt idx="8">
                  <c:v>Shoes</c:v>
                </c:pt>
                <c:pt idx="9">
                  <c:v>Tablet</c:v>
                </c:pt>
                <c:pt idx="10">
                  <c:v>total</c:v>
                </c:pt>
                <c:pt idx="11">
                  <c:v>T-Shirt</c:v>
                </c:pt>
                <c:pt idx="12">
                  <c:v>Watch</c:v>
                </c:pt>
              </c:strCache>
            </c:strRef>
          </c:cat>
          <c:val>
            <c:numRef>
              <c:f>'Pivot Table 4'!$B$4:$B$17</c:f>
              <c:numCache>
                <c:formatCode>General</c:formatCode>
                <c:ptCount val="13"/>
                <c:pt idx="0">
                  <c:v>2064608</c:v>
                </c:pt>
                <c:pt idx="1">
                  <c:v>3218358</c:v>
                </c:pt>
                <c:pt idx="2">
                  <c:v>2105733</c:v>
                </c:pt>
                <c:pt idx="3">
                  <c:v>3711749</c:v>
                </c:pt>
                <c:pt idx="4">
                  <c:v>2773395</c:v>
                </c:pt>
                <c:pt idx="5">
                  <c:v>3695395</c:v>
                </c:pt>
                <c:pt idx="6">
                  <c:v>3567955</c:v>
                </c:pt>
                <c:pt idx="7">
                  <c:v>4702760</c:v>
                </c:pt>
                <c:pt idx="8">
                  <c:v>3375138</c:v>
                </c:pt>
                <c:pt idx="9">
                  <c:v>3167931</c:v>
                </c:pt>
                <c:pt idx="10">
                  <c:v>38574405</c:v>
                </c:pt>
                <c:pt idx="11">
                  <c:v>3696239</c:v>
                </c:pt>
                <c:pt idx="12">
                  <c:v>2495144</c:v>
                </c:pt>
              </c:numCache>
            </c:numRef>
          </c:val>
          <c:extLst>
            <c:ext xmlns:c16="http://schemas.microsoft.com/office/drawing/2014/chart" uri="{C3380CC4-5D6E-409C-BE32-E72D297353CC}">
              <c16:uniqueId val="{00000000-EA0F-41FC-A66C-7AAF9E5D4D52}"/>
            </c:ext>
          </c:extLst>
        </c:ser>
        <c:ser>
          <c:idx val="1"/>
          <c:order val="1"/>
          <c:tx>
            <c:strRef>
              <c:f>'Pivot Table 4'!$C$3</c:f>
              <c:strCache>
                <c:ptCount val="1"/>
                <c:pt idx="0">
                  <c:v>Sum of % Contribution</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'Pivot Table 4'!$A$4:$A$17</c:f>
              <c:strCache>
                <c:ptCount val="13"/>
                <c:pt idx="0">
                  <c:v>Bag</c:v>
                </c:pt>
                <c:pt idx="1">
                  <c:v>Book</c:v>
                </c:pt>
                <c:pt idx="2">
                  <c:v>Chair</c:v>
                </c:pt>
                <c:pt idx="3">
                  <c:v>Headphones</c:v>
                </c:pt>
                <c:pt idx="4">
                  <c:v>Keyboard</c:v>
                </c:pt>
                <c:pt idx="5">
                  <c:v>Laptop</c:v>
                </c:pt>
                <c:pt idx="6">
                  <c:v>Mixer</c:v>
                </c:pt>
                <c:pt idx="7">
                  <c:v>Mobile</c:v>
                </c:pt>
                <c:pt idx="8">
                  <c:v>Shoes</c:v>
                </c:pt>
                <c:pt idx="9">
                  <c:v>Tablet</c:v>
                </c:pt>
                <c:pt idx="10">
                  <c:v>total</c:v>
                </c:pt>
                <c:pt idx="11">
                  <c:v>T-Shirt</c:v>
                </c:pt>
                <c:pt idx="12">
                  <c:v>Watch</c:v>
                </c:pt>
              </c:strCache>
            </c:strRef>
          </c:cat>
          <c:val>
            <c:numRef>
              <c:f>'Pivot Table 4'!$C$4:$C$17</c:f>
              <c:numCache>
                <c:formatCode>0.00%</c:formatCode>
                <c:ptCount val="13"/>
                <c:pt idx="0">
                  <c:v>5.352274390233628E-2</c:v>
                </c:pt>
                <c:pt idx="1">
                  <c:v>8.3432472905285257E-2</c:v>
                </c:pt>
                <c:pt idx="2">
                  <c:v>5.4588865337002607E-2</c:v>
                </c:pt>
                <c:pt idx="3">
                  <c:v>9.622310441340573E-2</c:v>
                </c:pt>
                <c:pt idx="4">
                  <c:v>7.1897285259487478E-2</c:v>
                </c:pt>
                <c:pt idx="5">
                  <c:v>9.5799144536383649E-2</c:v>
                </c:pt>
                <c:pt idx="6">
                  <c:v>9.2495399475377521E-2</c:v>
                </c:pt>
                <c:pt idx="7">
                  <c:v>0.12191399971042975</c:v>
                </c:pt>
                <c:pt idx="8">
                  <c:v>8.7496825939376119E-2</c:v>
                </c:pt>
                <c:pt idx="9">
                  <c:v>8.2125207115961996E-2</c:v>
                </c:pt>
                <c:pt idx="10">
                  <c:v>1</c:v>
                </c:pt>
                <c:pt idx="11">
                  <c:v>9.5821024329474425E-2</c:v>
                </c:pt>
                <c:pt idx="12">
                  <c:v>6.4683927075479195E-2</c:v>
                </c:pt>
              </c:numCache>
            </c:numRef>
          </c:val>
          <c:extLst>
            <c:ext xmlns:c16="http://schemas.microsoft.com/office/drawing/2014/chart" uri="{C3380CC4-5D6E-409C-BE32-E72D297353CC}">
              <c16:uniqueId val="{00000001-EA0F-41FC-A66C-7AAF9E5D4D52}"/>
            </c:ext>
          </c:extLst>
        </c:ser>
        <c:dLbls>
          <c:showLegendKey val="0"/>
          <c:showVal val="0"/>
          <c:showCatName val="0"/>
          <c:showSerName val="0"/>
          <c:showPercent val="0"/>
          <c:showBubbleSize val="0"/>
        </c:dLbls>
        <c:gapWidth val="100"/>
        <c:axId val="2042849103"/>
        <c:axId val="2042850063"/>
      </c:barChart>
      <c:catAx>
        <c:axId val="2042849103"/>
        <c:scaling>
          <c:orientation val="maxMin"/>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42850063"/>
        <c:crosses val="autoZero"/>
        <c:auto val="1"/>
        <c:lblAlgn val="ctr"/>
        <c:lblOffset val="100"/>
        <c:noMultiLvlLbl val="0"/>
      </c:catAx>
      <c:valAx>
        <c:axId val="2042850063"/>
        <c:scaling>
          <c:orientation val="minMax"/>
        </c:scaling>
        <c:delete val="0"/>
        <c:axPos val="t"/>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42849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a:t>Revenue by Category</a:t>
            </a:r>
          </a:p>
        </c:rich>
      </c:tx>
      <c:overlay val="1"/>
    </c:title>
    <c:autoTitleDeleted val="0"/>
    <c:plotArea>
      <c:layout/>
      <c:barChart>
        <c:barDir val="col"/>
        <c:grouping val="clustered"/>
        <c:varyColors val="1"/>
        <c:ser>
          <c:idx val="0"/>
          <c:order val="0"/>
          <c:tx>
            <c:strRef>
              <c:f>'Dashboard (2)'!$E$1</c:f>
              <c:strCache>
                <c:ptCount val="1"/>
                <c:pt idx="0">
                  <c:v>Revenue</c:v>
                </c:pt>
              </c:strCache>
            </c:strRef>
          </c:tx>
          <c:spPr>
            <a:ln>
              <a:prstDash val="solid"/>
            </a:ln>
          </c:spPr>
          <c:invertIfNegative val="1"/>
          <c:cat>
            <c:strRef>
              <c:f>'Dashboard (2)'!$D$2:$D$4</c:f>
              <c:strCache>
                <c:ptCount val="3"/>
                <c:pt idx="0">
                  <c:v>Electronics</c:v>
                </c:pt>
                <c:pt idx="1">
                  <c:v>Fashion</c:v>
                </c:pt>
                <c:pt idx="2">
                  <c:v>Accessories</c:v>
                </c:pt>
              </c:strCache>
            </c:strRef>
          </c:cat>
          <c:val>
            <c:numRef>
              <c:f>'Dashboard (2)'!$E$2:$E$4</c:f>
              <c:numCache>
                <c:formatCode>General</c:formatCode>
                <c:ptCount val="3"/>
                <c:pt idx="0">
                  <c:v>898.00000000000011</c:v>
                </c:pt>
                <c:pt idx="1">
                  <c:v>342.90000000000003</c:v>
                </c:pt>
                <c:pt idx="2">
                  <c:v>286.19999999999993</c:v>
                </c:pt>
              </c:numCache>
            </c:numRef>
          </c:val>
          <c:extLst>
            <c:ext xmlns:c16="http://schemas.microsoft.com/office/drawing/2014/chart" uri="{C3380CC4-5D6E-409C-BE32-E72D297353CC}">
              <c16:uniqueId val="{00000000-AD5E-154F-8A60-DA48E0C78199}"/>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a:t>Category Distribution</a:t>
            </a:r>
          </a:p>
        </c:rich>
      </c:tx>
      <c:overlay val="1"/>
    </c:title>
    <c:autoTitleDeleted val="0"/>
    <c:plotArea>
      <c:layout/>
      <c:pieChart>
        <c:varyColors val="1"/>
        <c:ser>
          <c:idx val="0"/>
          <c:order val="0"/>
          <c:tx>
            <c:strRef>
              <c:f>'Dashboard (2)'!$E$1</c:f>
              <c:strCache>
                <c:ptCount val="1"/>
                <c:pt idx="0">
                  <c:v>Revenue</c:v>
                </c:pt>
              </c:strCache>
            </c:strRef>
          </c:tx>
          <c:spPr>
            <a:ln>
              <a:prstDash val="solid"/>
            </a:ln>
          </c:spPr>
          <c:cat>
            <c:strRef>
              <c:f>'Dashboard (2)'!$D$2:$D$4</c:f>
              <c:strCache>
                <c:ptCount val="3"/>
                <c:pt idx="0">
                  <c:v>Electronics</c:v>
                </c:pt>
                <c:pt idx="1">
                  <c:v>Fashion</c:v>
                </c:pt>
                <c:pt idx="2">
                  <c:v>Accessories</c:v>
                </c:pt>
              </c:strCache>
            </c:strRef>
          </c:cat>
          <c:val>
            <c:numRef>
              <c:f>'Dashboard (2)'!$E$2:$E$4</c:f>
              <c:numCache>
                <c:formatCode>General</c:formatCode>
                <c:ptCount val="3"/>
                <c:pt idx="0">
                  <c:v>898.00000000000011</c:v>
                </c:pt>
                <c:pt idx="1">
                  <c:v>342.90000000000003</c:v>
                </c:pt>
                <c:pt idx="2">
                  <c:v>286.19999999999993</c:v>
                </c:pt>
              </c:numCache>
            </c:numRef>
          </c:val>
          <c:extLst>
            <c:ext xmlns:c16="http://schemas.microsoft.com/office/drawing/2014/chart" uri="{C3380CC4-5D6E-409C-BE32-E72D297353CC}">
              <c16:uniqueId val="{00000000-D4D0-C744-AA04-91B0644F4B6D}"/>
            </c:ext>
          </c:extLst>
        </c:ser>
        <c:dLbls>
          <c:showLegendKey val="0"/>
          <c:showVal val="0"/>
          <c:showCatName val="0"/>
          <c:showSerName val="0"/>
          <c:showPercent val="0"/>
          <c:showBubbleSize val="0"/>
          <c:showLeaderLines val="1"/>
        </c:dLbls>
        <c:firstSliceAng val="0"/>
      </c:pieChart>
    </c:plotArea>
    <c:legend>
      <c:legendPos val="r"/>
      <c:overlay val="1"/>
    </c:legend>
    <c:plotVisOnly val="1"/>
    <c:dispBlanksAs val="gap"/>
    <c:showDLblsOverMax val="1"/>
  </c:chart>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chart" Target="../charts/chart8.xml"/><Relationship Id="rId3" Type="http://schemas.openxmlformats.org/officeDocument/2006/relationships/hyperlink" Target="https://snapinnovations.com/top-layer-1-blockchains/" TargetMode="External"/><Relationship Id="rId7" Type="http://schemas.openxmlformats.org/officeDocument/2006/relationships/image" Target="../media/image5.svg"/><Relationship Id="rId12" Type="http://schemas.openxmlformats.org/officeDocument/2006/relationships/chart" Target="../charts/chart7.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4.png"/><Relationship Id="rId11" Type="http://schemas.openxmlformats.org/officeDocument/2006/relationships/chart" Target="../charts/chart6.xml"/><Relationship Id="rId5" Type="http://schemas.openxmlformats.org/officeDocument/2006/relationships/hyperlink" Target="https://paucompany.es/tiendas-online-basicas-y-personalizadas/" TargetMode="External"/><Relationship Id="rId15" Type="http://schemas.openxmlformats.org/officeDocument/2006/relationships/image" Target="../media/image8.svg"/><Relationship Id="rId10" Type="http://schemas.openxmlformats.org/officeDocument/2006/relationships/chart" Target="../charts/chart5.xml"/><Relationship Id="rId4" Type="http://schemas.openxmlformats.org/officeDocument/2006/relationships/image" Target="../media/image3.jpeg"/><Relationship Id="rId9" Type="http://schemas.openxmlformats.org/officeDocument/2006/relationships/hyperlink" Target="https://freesvg.org/home-stuff" TargetMode="External"/><Relationship Id="rId14" Type="http://schemas.openxmlformats.org/officeDocument/2006/relationships/image" Target="../media/image7.png"/></Relationships>
</file>

<file path=xl/drawings/_rels/drawing6.xml.rels><?xml version="1.0" encoding="UTF-8" standalone="yes"?>
<Relationships xmlns="http://schemas.openxmlformats.org/package/2006/relationships"><Relationship Id="rId2" Type="http://schemas.openxmlformats.org/officeDocument/2006/relationships/image" Target="../media/image10.svg"/><Relationship Id="rId1" Type="http://schemas.openxmlformats.org/officeDocument/2006/relationships/image" Target="../media/image9.png"/></Relationships>
</file>

<file path=xl/drawings/_rels/drawing7.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0</xdr:col>
      <xdr:colOff>82550</xdr:colOff>
      <xdr:row>10</xdr:row>
      <xdr:rowOff>171450</xdr:rowOff>
    </xdr:from>
    <xdr:to>
      <xdr:col>1</xdr:col>
      <xdr:colOff>1162050</xdr:colOff>
      <xdr:row>24</xdr:row>
      <xdr:rowOff>123825</xdr:rowOff>
    </xdr:to>
    <mc:AlternateContent xmlns:mc="http://schemas.openxmlformats.org/markup-compatibility/2006" xmlns:a14="http://schemas.microsoft.com/office/drawing/2010/main">
      <mc:Choice Requires="a14">
        <xdr:graphicFrame macro="">
          <xdr:nvGraphicFramePr>
            <xdr:cNvPr id="9" name="Category">
              <a:extLst>
                <a:ext uri="{FF2B5EF4-FFF2-40B4-BE49-F238E27FC236}">
                  <a16:creationId xmlns:a16="http://schemas.microsoft.com/office/drawing/2014/main" id="{CB90981B-24D9-483F-25E7-6E54CB506DA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5725" y="1981200"/>
              <a:ext cx="1828800" cy="2482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1225550</xdr:colOff>
      <xdr:row>10</xdr:row>
      <xdr:rowOff>177800</xdr:rowOff>
    </xdr:from>
    <xdr:to>
      <xdr:col>3</xdr:col>
      <xdr:colOff>952500</xdr:colOff>
      <xdr:row>24</xdr:row>
      <xdr:rowOff>123825</xdr:rowOff>
    </xdr:to>
    <mc:AlternateContent xmlns:mc="http://schemas.openxmlformats.org/markup-compatibility/2006" xmlns:a14="http://schemas.microsoft.com/office/drawing/2010/main">
      <mc:Choice Requires="a14">
        <xdr:graphicFrame macro="">
          <xdr:nvGraphicFramePr>
            <xdr:cNvPr id="10" name="Total Amount">
              <a:extLst>
                <a:ext uri="{FF2B5EF4-FFF2-40B4-BE49-F238E27FC236}">
                  <a16:creationId xmlns:a16="http://schemas.microsoft.com/office/drawing/2014/main" id="{3EC187CB-E4D8-AA9B-C52D-42F253B62E0C}"/>
                </a:ext>
              </a:extLst>
            </xdr:cNvPr>
            <xdr:cNvGraphicFramePr/>
          </xdr:nvGraphicFramePr>
          <xdr:xfrm>
            <a:off x="0" y="0"/>
            <a:ext cx="0" cy="0"/>
          </xdr:xfrm>
          <a:graphic>
            <a:graphicData uri="http://schemas.microsoft.com/office/drawing/2010/slicer">
              <sle:slicer xmlns:sle="http://schemas.microsoft.com/office/drawing/2010/slicer" name="Total Amount"/>
            </a:graphicData>
          </a:graphic>
        </xdr:graphicFrame>
      </mc:Choice>
      <mc:Fallback xmlns="">
        <xdr:sp macro="" textlink="">
          <xdr:nvSpPr>
            <xdr:cNvPr id="0" name=""/>
            <xdr:cNvSpPr>
              <a:spLocks noTextEdit="1"/>
            </xdr:cNvSpPr>
          </xdr:nvSpPr>
          <xdr:spPr>
            <a:xfrm>
              <a:off x="1981200" y="1990725"/>
              <a:ext cx="1828800" cy="24733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1127125</xdr:colOff>
      <xdr:row>0</xdr:row>
      <xdr:rowOff>95250</xdr:rowOff>
    </xdr:from>
    <xdr:to>
      <xdr:col>13</xdr:col>
      <xdr:colOff>307975</xdr:colOff>
      <xdr:row>21</xdr:row>
      <xdr:rowOff>57150</xdr:rowOff>
    </xdr:to>
    <xdr:graphicFrame macro="">
      <xdr:nvGraphicFramePr>
        <xdr:cNvPr id="11" name="Chart 10">
          <a:extLst>
            <a:ext uri="{FF2B5EF4-FFF2-40B4-BE49-F238E27FC236}">
              <a16:creationId xmlns:a16="http://schemas.microsoft.com/office/drawing/2014/main" id="{5D86C6EE-AAF1-C84D-3DF7-EF03B7E26C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88900</xdr:colOff>
      <xdr:row>10</xdr:row>
      <xdr:rowOff>82550</xdr:rowOff>
    </xdr:from>
    <xdr:to>
      <xdr:col>1</xdr:col>
      <xdr:colOff>1054100</xdr:colOff>
      <xdr:row>24</xdr:row>
      <xdr:rowOff>28575</xdr:rowOff>
    </xdr:to>
    <mc:AlternateContent xmlns:mc="http://schemas.openxmlformats.org/markup-compatibility/2006" xmlns:a14="http://schemas.microsoft.com/office/drawing/2010/main">
      <mc:Choice Requires="a14">
        <xdr:graphicFrame macro="">
          <xdr:nvGraphicFramePr>
            <xdr:cNvPr id="2" name="Total Amount 1">
              <a:extLst>
                <a:ext uri="{FF2B5EF4-FFF2-40B4-BE49-F238E27FC236}">
                  <a16:creationId xmlns:a16="http://schemas.microsoft.com/office/drawing/2014/main" id="{3B0AAAD6-30E3-8B8B-6B32-F6DCDB2356A4}"/>
                </a:ext>
              </a:extLst>
            </xdr:cNvPr>
            <xdr:cNvGraphicFramePr/>
          </xdr:nvGraphicFramePr>
          <xdr:xfrm>
            <a:off x="0" y="0"/>
            <a:ext cx="0" cy="0"/>
          </xdr:xfrm>
          <a:graphic>
            <a:graphicData uri="http://schemas.microsoft.com/office/drawing/2010/slicer">
              <sle:slicer xmlns:sle="http://schemas.microsoft.com/office/drawing/2010/slicer" name="Total Amount 1"/>
            </a:graphicData>
          </a:graphic>
        </xdr:graphicFrame>
      </mc:Choice>
      <mc:Fallback xmlns="">
        <xdr:sp macro="" textlink="">
          <xdr:nvSpPr>
            <xdr:cNvPr id="0" name=""/>
            <xdr:cNvSpPr>
              <a:spLocks noTextEdit="1"/>
            </xdr:cNvSpPr>
          </xdr:nvSpPr>
          <xdr:spPr>
            <a:xfrm>
              <a:off x="85725" y="1895475"/>
              <a:ext cx="1838325" cy="24733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1238250</xdr:colOff>
      <xdr:row>10</xdr:row>
      <xdr:rowOff>120650</xdr:rowOff>
    </xdr:from>
    <xdr:to>
      <xdr:col>4</xdr:col>
      <xdr:colOff>527050</xdr:colOff>
      <xdr:row>24</xdr:row>
      <xdr:rowOff>66675</xdr:rowOff>
    </xdr:to>
    <mc:AlternateContent xmlns:mc="http://schemas.openxmlformats.org/markup-compatibility/2006" xmlns:a14="http://schemas.microsoft.com/office/drawing/2010/main">
      <mc:Choice Requires="a14">
        <xdr:graphicFrame macro="">
          <xdr:nvGraphicFramePr>
            <xdr:cNvPr id="3" name="Months (Order Date)">
              <a:extLst>
                <a:ext uri="{FF2B5EF4-FFF2-40B4-BE49-F238E27FC236}">
                  <a16:creationId xmlns:a16="http://schemas.microsoft.com/office/drawing/2014/main" id="{E47FF165-9E7A-CFB8-4E98-FD08FB74C885}"/>
                </a:ext>
              </a:extLst>
            </xdr:cNvPr>
            <xdr:cNvGraphicFramePr/>
          </xdr:nvGraphicFramePr>
          <xdr:xfrm>
            <a:off x="0" y="0"/>
            <a:ext cx="0" cy="0"/>
          </xdr:xfrm>
          <a:graphic>
            <a:graphicData uri="http://schemas.microsoft.com/office/drawing/2010/slicer">
              <sle:slicer xmlns:sle="http://schemas.microsoft.com/office/drawing/2010/slicer" name="Months (Order Date)"/>
            </a:graphicData>
          </a:graphic>
        </xdr:graphicFrame>
      </mc:Choice>
      <mc:Fallback xmlns="">
        <xdr:sp macro="" textlink="">
          <xdr:nvSpPr>
            <xdr:cNvPr id="0" name=""/>
            <xdr:cNvSpPr>
              <a:spLocks noTextEdit="1"/>
            </xdr:cNvSpPr>
          </xdr:nvSpPr>
          <xdr:spPr>
            <a:xfrm>
              <a:off x="2124075" y="1933575"/>
              <a:ext cx="1828800" cy="24733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222250</xdr:colOff>
      <xdr:row>0</xdr:row>
      <xdr:rowOff>3175</xdr:rowOff>
    </xdr:from>
    <xdr:to>
      <xdr:col>12</xdr:col>
      <xdr:colOff>527050</xdr:colOff>
      <xdr:row>14</xdr:row>
      <xdr:rowOff>168275</xdr:rowOff>
    </xdr:to>
    <xdr:graphicFrame macro="">
      <xdr:nvGraphicFramePr>
        <xdr:cNvPr id="4" name="Chart 3">
          <a:extLst>
            <a:ext uri="{FF2B5EF4-FFF2-40B4-BE49-F238E27FC236}">
              <a16:creationId xmlns:a16="http://schemas.microsoft.com/office/drawing/2014/main" id="{2CB60657-3D6B-62E3-7D35-5CC70BDD2C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158750</xdr:colOff>
      <xdr:row>9</xdr:row>
      <xdr:rowOff>50800</xdr:rowOff>
    </xdr:from>
    <xdr:to>
      <xdr:col>1</xdr:col>
      <xdr:colOff>1028700</xdr:colOff>
      <xdr:row>23</xdr:row>
      <xdr:rowOff>0</xdr:rowOff>
    </xdr:to>
    <mc:AlternateContent xmlns:mc="http://schemas.openxmlformats.org/markup-compatibility/2006" xmlns:a14="http://schemas.microsoft.com/office/drawing/2010/main">
      <mc:Choice Requires="a14">
        <xdr:graphicFrame macro="">
          <xdr:nvGraphicFramePr>
            <xdr:cNvPr id="2" name="Total Amount 2">
              <a:extLst>
                <a:ext uri="{FF2B5EF4-FFF2-40B4-BE49-F238E27FC236}">
                  <a16:creationId xmlns:a16="http://schemas.microsoft.com/office/drawing/2014/main" id="{52C1B520-E1D4-BC2A-86C9-FD2A9E7017B2}"/>
                </a:ext>
              </a:extLst>
            </xdr:cNvPr>
            <xdr:cNvGraphicFramePr/>
          </xdr:nvGraphicFramePr>
          <xdr:xfrm>
            <a:off x="0" y="0"/>
            <a:ext cx="0" cy="0"/>
          </xdr:xfrm>
          <a:graphic>
            <a:graphicData uri="http://schemas.microsoft.com/office/drawing/2010/slicer">
              <sle:slicer xmlns:sle="http://schemas.microsoft.com/office/drawing/2010/slicer" name="Total Amount 2"/>
            </a:graphicData>
          </a:graphic>
        </xdr:graphicFrame>
      </mc:Choice>
      <mc:Fallback xmlns="">
        <xdr:sp macro="" textlink="">
          <xdr:nvSpPr>
            <xdr:cNvPr id="0" name=""/>
            <xdr:cNvSpPr>
              <a:spLocks noTextEdit="1"/>
            </xdr:cNvSpPr>
          </xdr:nvSpPr>
          <xdr:spPr>
            <a:xfrm>
              <a:off x="158750" y="1708150"/>
              <a:ext cx="1825625"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44450</xdr:colOff>
      <xdr:row>9</xdr:row>
      <xdr:rowOff>12700</xdr:rowOff>
    </xdr:from>
    <xdr:to>
      <xdr:col>5</xdr:col>
      <xdr:colOff>47625</xdr:colOff>
      <xdr:row>22</xdr:row>
      <xdr:rowOff>142875</xdr:rowOff>
    </xdr:to>
    <mc:AlternateContent xmlns:mc="http://schemas.openxmlformats.org/markup-compatibility/2006" xmlns:a14="http://schemas.microsoft.com/office/drawing/2010/main">
      <mc:Choice Requires="a14">
        <xdr:graphicFrame macro="">
          <xdr:nvGraphicFramePr>
            <xdr:cNvPr id="3" name="City">
              <a:extLst>
                <a:ext uri="{FF2B5EF4-FFF2-40B4-BE49-F238E27FC236}">
                  <a16:creationId xmlns:a16="http://schemas.microsoft.com/office/drawing/2014/main" id="{7F113F96-96BC-B935-31CF-606563530EC8}"/>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2089150" y="1670050"/>
              <a:ext cx="1828800" cy="2527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219075</xdr:colOff>
      <xdr:row>0</xdr:row>
      <xdr:rowOff>34925</xdr:rowOff>
    </xdr:from>
    <xdr:to>
      <xdr:col>13</xdr:col>
      <xdr:colOff>600075</xdr:colOff>
      <xdr:row>18</xdr:row>
      <xdr:rowOff>180975</xdr:rowOff>
    </xdr:to>
    <xdr:graphicFrame macro="">
      <xdr:nvGraphicFramePr>
        <xdr:cNvPr id="4" name="Chart 3">
          <a:extLst>
            <a:ext uri="{FF2B5EF4-FFF2-40B4-BE49-F238E27FC236}">
              <a16:creationId xmlns:a16="http://schemas.microsoft.com/office/drawing/2014/main" id="{FA65CD4B-5860-757A-7B01-661059BCE8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314325</xdr:colOff>
      <xdr:row>19</xdr:row>
      <xdr:rowOff>15875</xdr:rowOff>
    </xdr:from>
    <xdr:to>
      <xdr:col>2</xdr:col>
      <xdr:colOff>257175</xdr:colOff>
      <xdr:row>33</xdr:row>
      <xdr:rowOff>6350</xdr:rowOff>
    </xdr:to>
    <mc:AlternateContent xmlns:mc="http://schemas.openxmlformats.org/markup-compatibility/2006" xmlns:a14="http://schemas.microsoft.com/office/drawing/2010/main">
      <mc:Choice Requires="a14">
        <xdr:graphicFrame macro="">
          <xdr:nvGraphicFramePr>
            <xdr:cNvPr id="5" name="Product">
              <a:extLst>
                <a:ext uri="{FF2B5EF4-FFF2-40B4-BE49-F238E27FC236}">
                  <a16:creationId xmlns:a16="http://schemas.microsoft.com/office/drawing/2014/main" id="{E3BCB211-CE32-D09A-C496-17CBA1E65F2C}"/>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311150" y="3454400"/>
              <a:ext cx="1828800" cy="2527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447675</xdr:colOff>
      <xdr:row>19</xdr:row>
      <xdr:rowOff>34925</xdr:rowOff>
    </xdr:from>
    <xdr:to>
      <xdr:col>4</xdr:col>
      <xdr:colOff>276225</xdr:colOff>
      <xdr:row>33</xdr:row>
      <xdr:rowOff>28575</xdr:rowOff>
    </xdr:to>
    <mc:AlternateContent xmlns:mc="http://schemas.openxmlformats.org/markup-compatibility/2006" xmlns:a14="http://schemas.microsoft.com/office/drawing/2010/main">
      <mc:Choice Requires="a14">
        <xdr:graphicFrame macro="">
          <xdr:nvGraphicFramePr>
            <xdr:cNvPr id="6" name="Sum Of Product">
              <a:extLst>
                <a:ext uri="{FF2B5EF4-FFF2-40B4-BE49-F238E27FC236}">
                  <a16:creationId xmlns:a16="http://schemas.microsoft.com/office/drawing/2014/main" id="{A3987886-3C15-4418-4AF3-36235CDABC1F}"/>
                </a:ext>
              </a:extLst>
            </xdr:cNvPr>
            <xdr:cNvGraphicFramePr/>
          </xdr:nvGraphicFramePr>
          <xdr:xfrm>
            <a:off x="0" y="0"/>
            <a:ext cx="0" cy="0"/>
          </xdr:xfrm>
          <a:graphic>
            <a:graphicData uri="http://schemas.microsoft.com/office/drawing/2010/slicer">
              <sle:slicer xmlns:sle="http://schemas.microsoft.com/office/drawing/2010/slicer" name="Sum Of Product"/>
            </a:graphicData>
          </a:graphic>
        </xdr:graphicFrame>
      </mc:Choice>
      <mc:Fallback xmlns="">
        <xdr:sp macro="" textlink="">
          <xdr:nvSpPr>
            <xdr:cNvPr id="0" name=""/>
            <xdr:cNvSpPr>
              <a:spLocks noTextEdit="1"/>
            </xdr:cNvSpPr>
          </xdr:nvSpPr>
          <xdr:spPr>
            <a:xfrm>
              <a:off x="2349500" y="34734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0</xdr:colOff>
      <xdr:row>20</xdr:row>
      <xdr:rowOff>38100</xdr:rowOff>
    </xdr:from>
    <xdr:to>
      <xdr:col>7</xdr:col>
      <xdr:colOff>606425</xdr:colOff>
      <xdr:row>34</xdr:row>
      <xdr:rowOff>28575</xdr:rowOff>
    </xdr:to>
    <mc:AlternateContent xmlns:mc="http://schemas.openxmlformats.org/markup-compatibility/2006" xmlns:a14="http://schemas.microsoft.com/office/drawing/2010/main">
      <mc:Choice Requires="a14">
        <xdr:graphicFrame macro="">
          <xdr:nvGraphicFramePr>
            <xdr:cNvPr id="7" name="% Contribution">
              <a:extLst>
                <a:ext uri="{FF2B5EF4-FFF2-40B4-BE49-F238E27FC236}">
                  <a16:creationId xmlns:a16="http://schemas.microsoft.com/office/drawing/2014/main" id="{2406B369-74C3-676B-F6F6-BA87CDFB03C4}"/>
                </a:ext>
              </a:extLst>
            </xdr:cNvPr>
            <xdr:cNvGraphicFramePr/>
          </xdr:nvGraphicFramePr>
          <xdr:xfrm>
            <a:off x="0" y="0"/>
            <a:ext cx="0" cy="0"/>
          </xdr:xfrm>
          <a:graphic>
            <a:graphicData uri="http://schemas.microsoft.com/office/drawing/2010/slicer">
              <sle:slicer xmlns:sle="http://schemas.microsoft.com/office/drawing/2010/slicer" name="% Contribution"/>
            </a:graphicData>
          </a:graphic>
        </xdr:graphicFrame>
      </mc:Choice>
      <mc:Fallback xmlns="">
        <xdr:sp macro="" textlink="">
          <xdr:nvSpPr>
            <xdr:cNvPr id="0" name=""/>
            <xdr:cNvSpPr>
              <a:spLocks noTextEdit="1"/>
            </xdr:cNvSpPr>
          </xdr:nvSpPr>
          <xdr:spPr>
            <a:xfrm>
              <a:off x="4533900" y="3657600"/>
              <a:ext cx="1828800" cy="25209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539750</xdr:colOff>
      <xdr:row>1</xdr:row>
      <xdr:rowOff>104775</xdr:rowOff>
    </xdr:from>
    <xdr:to>
      <xdr:col>11</xdr:col>
      <xdr:colOff>482600</xdr:colOff>
      <xdr:row>16</xdr:row>
      <xdr:rowOff>31749</xdr:rowOff>
    </xdr:to>
    <xdr:graphicFrame macro="">
      <xdr:nvGraphicFramePr>
        <xdr:cNvPr id="18" name="Chart 17">
          <a:extLst>
            <a:ext uri="{FF2B5EF4-FFF2-40B4-BE49-F238E27FC236}">
              <a16:creationId xmlns:a16="http://schemas.microsoft.com/office/drawing/2014/main" id="{6618AB3A-DFCE-4B18-A083-77B3D1C564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665093</xdr:colOff>
      <xdr:row>0</xdr:row>
      <xdr:rowOff>0</xdr:rowOff>
    </xdr:from>
    <xdr:to>
      <xdr:col>2</xdr:col>
      <xdr:colOff>1257300</xdr:colOff>
      <xdr:row>4</xdr:row>
      <xdr:rowOff>13279</xdr:rowOff>
    </xdr:to>
    <xdr:pic>
      <xdr:nvPicPr>
        <xdr:cNvPr id="11" name="Picture 10">
          <a:extLst>
            <a:ext uri="{FF2B5EF4-FFF2-40B4-BE49-F238E27FC236}">
              <a16:creationId xmlns:a16="http://schemas.microsoft.com/office/drawing/2014/main" id="{D243C715-C5D4-8BAA-41A3-A2C8294C986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274693" y="0"/>
          <a:ext cx="1341507" cy="927679"/>
        </a:xfrm>
        <a:prstGeom prst="rect">
          <a:avLst/>
        </a:prstGeom>
      </xdr:spPr>
    </xdr:pic>
    <xdr:clientData/>
  </xdr:twoCellAnchor>
  <xdr:twoCellAnchor>
    <xdr:from>
      <xdr:col>0</xdr:col>
      <xdr:colOff>558800</xdr:colOff>
      <xdr:row>5</xdr:row>
      <xdr:rowOff>120650</xdr:rowOff>
    </xdr:from>
    <xdr:to>
      <xdr:col>2</xdr:col>
      <xdr:colOff>869950</xdr:colOff>
      <xdr:row>7</xdr:row>
      <xdr:rowOff>158750</xdr:rowOff>
    </xdr:to>
    <xdr:sp macro="" textlink="">
      <xdr:nvSpPr>
        <xdr:cNvPr id="3" name="TextBox 2">
          <a:extLst>
            <a:ext uri="{FF2B5EF4-FFF2-40B4-BE49-F238E27FC236}">
              <a16:creationId xmlns:a16="http://schemas.microsoft.com/office/drawing/2014/main" id="{06183ECC-71E4-6E23-69BF-DDCD59C91F41}"/>
            </a:ext>
          </a:extLst>
        </xdr:cNvPr>
        <xdr:cNvSpPr txBox="1"/>
      </xdr:nvSpPr>
      <xdr:spPr>
        <a:xfrm>
          <a:off x="558800" y="1816100"/>
          <a:ext cx="1670050" cy="406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t>Category Sales</a:t>
          </a:r>
        </a:p>
      </xdr:txBody>
    </xdr:sp>
    <xdr:clientData/>
  </xdr:twoCellAnchor>
  <xdr:twoCellAnchor>
    <xdr:from>
      <xdr:col>3</xdr:col>
      <xdr:colOff>2489200</xdr:colOff>
      <xdr:row>1</xdr:row>
      <xdr:rowOff>304800</xdr:rowOff>
    </xdr:from>
    <xdr:to>
      <xdr:col>3</xdr:col>
      <xdr:colOff>9525000</xdr:colOff>
      <xdr:row>2</xdr:row>
      <xdr:rowOff>0</xdr:rowOff>
    </xdr:to>
    <xdr:sp macro="" textlink="">
      <xdr:nvSpPr>
        <xdr:cNvPr id="4" name="TextBox 3">
          <a:extLst>
            <a:ext uri="{FF2B5EF4-FFF2-40B4-BE49-F238E27FC236}">
              <a16:creationId xmlns:a16="http://schemas.microsoft.com/office/drawing/2014/main" id="{97E4FD47-CEB4-316E-24C3-51F22B8E8A5C}"/>
            </a:ext>
          </a:extLst>
        </xdr:cNvPr>
        <xdr:cNvSpPr txBox="1"/>
      </xdr:nvSpPr>
      <xdr:spPr>
        <a:xfrm>
          <a:off x="5537200" y="488950"/>
          <a:ext cx="7035800" cy="476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a:t>     The Online Shopping Analytics Dashboard</a:t>
          </a:r>
        </a:p>
      </xdr:txBody>
    </xdr:sp>
    <xdr:clientData/>
  </xdr:twoCellAnchor>
  <xdr:twoCellAnchor>
    <xdr:from>
      <xdr:col>5</xdr:col>
      <xdr:colOff>1695450</xdr:colOff>
      <xdr:row>3</xdr:row>
      <xdr:rowOff>114300</xdr:rowOff>
    </xdr:from>
    <xdr:to>
      <xdr:col>5</xdr:col>
      <xdr:colOff>3587750</xdr:colOff>
      <xdr:row>5</xdr:row>
      <xdr:rowOff>171450</xdr:rowOff>
    </xdr:to>
    <xdr:sp macro="" textlink="">
      <xdr:nvSpPr>
        <xdr:cNvPr id="12" name="TextBox 11">
          <a:extLst>
            <a:ext uri="{FF2B5EF4-FFF2-40B4-BE49-F238E27FC236}">
              <a16:creationId xmlns:a16="http://schemas.microsoft.com/office/drawing/2014/main" id="{0CA0F8B5-EECE-B2D9-64B9-EFB817590373}"/>
            </a:ext>
          </a:extLst>
        </xdr:cNvPr>
        <xdr:cNvSpPr txBox="1"/>
      </xdr:nvSpPr>
      <xdr:spPr>
        <a:xfrm>
          <a:off x="4743450" y="1441450"/>
          <a:ext cx="1892300" cy="425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t>       Monthly sales</a:t>
          </a:r>
        </a:p>
      </xdr:txBody>
    </xdr:sp>
    <xdr:clientData/>
  </xdr:twoCellAnchor>
  <xdr:twoCellAnchor>
    <xdr:from>
      <xdr:col>5</xdr:col>
      <xdr:colOff>3740150</xdr:colOff>
      <xdr:row>2</xdr:row>
      <xdr:rowOff>177800</xdr:rowOff>
    </xdr:from>
    <xdr:to>
      <xdr:col>5</xdr:col>
      <xdr:colOff>6597650</xdr:colOff>
      <xdr:row>6</xdr:row>
      <xdr:rowOff>177800</xdr:rowOff>
    </xdr:to>
    <xdr:sp macro="" textlink="">
      <xdr:nvSpPr>
        <xdr:cNvPr id="13" name="TextBox 12">
          <a:extLst>
            <a:ext uri="{FF2B5EF4-FFF2-40B4-BE49-F238E27FC236}">
              <a16:creationId xmlns:a16="http://schemas.microsoft.com/office/drawing/2014/main" id="{4DB5E3E2-79D2-6725-1F74-804894A3CFF5}"/>
            </a:ext>
          </a:extLst>
        </xdr:cNvPr>
        <xdr:cNvSpPr txBox="1"/>
      </xdr:nvSpPr>
      <xdr:spPr>
        <a:xfrm>
          <a:off x="6788150" y="1320800"/>
          <a:ext cx="2857500" cy="736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t>       NO.1</a:t>
          </a:r>
          <a:r>
            <a:rPr lang="en-IN" sz="2000" baseline="0"/>
            <a:t> Product Sales &amp;</a:t>
          </a:r>
        </a:p>
        <a:p>
          <a:r>
            <a:rPr lang="en-IN" sz="2000" baseline="0"/>
            <a:t>                 % Contribution</a:t>
          </a:r>
          <a:endParaRPr lang="en-IN" sz="2000"/>
        </a:p>
      </xdr:txBody>
    </xdr:sp>
    <xdr:clientData/>
  </xdr:twoCellAnchor>
  <xdr:twoCellAnchor editAs="oneCell">
    <xdr:from>
      <xdr:col>5</xdr:col>
      <xdr:colOff>266700</xdr:colOff>
      <xdr:row>5</xdr:row>
      <xdr:rowOff>158750</xdr:rowOff>
    </xdr:from>
    <xdr:to>
      <xdr:col>5</xdr:col>
      <xdr:colOff>1151533</xdr:colOff>
      <xdr:row>8</xdr:row>
      <xdr:rowOff>51960</xdr:rowOff>
    </xdr:to>
    <xdr:pic>
      <xdr:nvPicPr>
        <xdr:cNvPr id="16" name="Picture 15">
          <a:extLst>
            <a:ext uri="{FF2B5EF4-FFF2-40B4-BE49-F238E27FC236}">
              <a16:creationId xmlns:a16="http://schemas.microsoft.com/office/drawing/2014/main" id="{51DEC037-AE22-F33B-1023-2639E322E4B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837473B0-CC2E-450A-ABE3-18F120FF3D39}">
              <a1611:picAttrSrcUrl xmlns:a1611="http://schemas.microsoft.com/office/drawing/2016/11/main" r:id="rId3"/>
            </a:ext>
          </a:extLst>
        </a:blip>
        <a:stretch>
          <a:fillRect/>
        </a:stretch>
      </xdr:blipFill>
      <xdr:spPr>
        <a:xfrm>
          <a:off x="4819650" y="1854200"/>
          <a:ext cx="884833" cy="445660"/>
        </a:xfrm>
        <a:prstGeom prst="rect">
          <a:avLst/>
        </a:prstGeom>
      </xdr:spPr>
    </xdr:pic>
    <xdr:clientData/>
  </xdr:twoCellAnchor>
  <xdr:twoCellAnchor editAs="oneCell">
    <xdr:from>
      <xdr:col>0</xdr:col>
      <xdr:colOff>82550</xdr:colOff>
      <xdr:row>5</xdr:row>
      <xdr:rowOff>88900</xdr:rowOff>
    </xdr:from>
    <xdr:to>
      <xdr:col>0</xdr:col>
      <xdr:colOff>495300</xdr:colOff>
      <xdr:row>7</xdr:row>
      <xdr:rowOff>133350</xdr:rowOff>
    </xdr:to>
    <xdr:pic>
      <xdr:nvPicPr>
        <xdr:cNvPr id="18" name="Picture 17">
          <a:extLst>
            <a:ext uri="{FF2B5EF4-FFF2-40B4-BE49-F238E27FC236}">
              <a16:creationId xmlns:a16="http://schemas.microsoft.com/office/drawing/2014/main" id="{5E74C23A-07C1-BD7B-9D74-001E85A0D1F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837473B0-CC2E-450A-ABE3-18F120FF3D39}">
              <a1611:picAttrSrcUrl xmlns:a1611="http://schemas.microsoft.com/office/drawing/2016/11/main" r:id="rId5"/>
            </a:ext>
          </a:extLst>
        </a:blip>
        <a:stretch>
          <a:fillRect/>
        </a:stretch>
      </xdr:blipFill>
      <xdr:spPr>
        <a:xfrm>
          <a:off x="82550" y="1784350"/>
          <a:ext cx="412750" cy="412750"/>
        </a:xfrm>
        <a:prstGeom prst="rect">
          <a:avLst/>
        </a:prstGeom>
      </xdr:spPr>
    </xdr:pic>
    <xdr:clientData/>
  </xdr:twoCellAnchor>
  <xdr:twoCellAnchor editAs="oneCell">
    <xdr:from>
      <xdr:col>7</xdr:col>
      <xdr:colOff>1511300</xdr:colOff>
      <xdr:row>5</xdr:row>
      <xdr:rowOff>152400</xdr:rowOff>
    </xdr:from>
    <xdr:to>
      <xdr:col>7</xdr:col>
      <xdr:colOff>1972235</xdr:colOff>
      <xdr:row>8</xdr:row>
      <xdr:rowOff>25400</xdr:rowOff>
    </xdr:to>
    <xdr:pic>
      <xdr:nvPicPr>
        <xdr:cNvPr id="21" name="Graphic 20" descr="Business Growth with solid fill">
          <a:extLst>
            <a:ext uri="{FF2B5EF4-FFF2-40B4-BE49-F238E27FC236}">
              <a16:creationId xmlns:a16="http://schemas.microsoft.com/office/drawing/2014/main" id="{1049BA65-897C-ED89-801C-27F925CECBB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8064500" y="1847850"/>
          <a:ext cx="460935" cy="425450"/>
        </a:xfrm>
        <a:prstGeom prst="rect">
          <a:avLst/>
        </a:prstGeom>
      </xdr:spPr>
    </xdr:pic>
    <xdr:clientData/>
  </xdr:twoCellAnchor>
  <xdr:twoCellAnchor editAs="oneCell">
    <xdr:from>
      <xdr:col>2</xdr:col>
      <xdr:colOff>857250</xdr:colOff>
      <xdr:row>5</xdr:row>
      <xdr:rowOff>152400</xdr:rowOff>
    </xdr:from>
    <xdr:to>
      <xdr:col>3</xdr:col>
      <xdr:colOff>196850</xdr:colOff>
      <xdr:row>7</xdr:row>
      <xdr:rowOff>164862</xdr:rowOff>
    </xdr:to>
    <xdr:pic>
      <xdr:nvPicPr>
        <xdr:cNvPr id="23" name="Picture 22">
          <a:extLst>
            <a:ext uri="{FF2B5EF4-FFF2-40B4-BE49-F238E27FC236}">
              <a16:creationId xmlns:a16="http://schemas.microsoft.com/office/drawing/2014/main" id="{F168CA28-ED48-ED92-B039-22E9F1E745AE}"/>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837473B0-CC2E-450A-ABE3-18F120FF3D39}">
              <a1611:picAttrSrcUrl xmlns:a1611="http://schemas.microsoft.com/office/drawing/2016/11/main" r:id="rId9"/>
            </a:ext>
          </a:extLst>
        </a:blip>
        <a:stretch>
          <a:fillRect/>
        </a:stretch>
      </xdr:blipFill>
      <xdr:spPr>
        <a:xfrm>
          <a:off x="2216150" y="1847850"/>
          <a:ext cx="654050" cy="380762"/>
        </a:xfrm>
        <a:prstGeom prst="rect">
          <a:avLst/>
        </a:prstGeom>
      </xdr:spPr>
    </xdr:pic>
    <xdr:clientData/>
  </xdr:twoCellAnchor>
  <xdr:twoCellAnchor>
    <xdr:from>
      <xdr:col>3</xdr:col>
      <xdr:colOff>82550</xdr:colOff>
      <xdr:row>5</xdr:row>
      <xdr:rowOff>139700</xdr:rowOff>
    </xdr:from>
    <xdr:to>
      <xdr:col>5</xdr:col>
      <xdr:colOff>304800</xdr:colOff>
      <xdr:row>8</xdr:row>
      <xdr:rowOff>6350</xdr:rowOff>
    </xdr:to>
    <xdr:sp macro="" textlink="">
      <xdr:nvSpPr>
        <xdr:cNvPr id="5" name="TextBox 4">
          <a:extLst>
            <a:ext uri="{FF2B5EF4-FFF2-40B4-BE49-F238E27FC236}">
              <a16:creationId xmlns:a16="http://schemas.microsoft.com/office/drawing/2014/main" id="{5D5E91D6-34C2-F0C0-DD5D-653F9C449957}"/>
            </a:ext>
          </a:extLst>
        </xdr:cNvPr>
        <xdr:cNvSpPr txBox="1"/>
      </xdr:nvSpPr>
      <xdr:spPr>
        <a:xfrm>
          <a:off x="2755900" y="1835150"/>
          <a:ext cx="2101850" cy="419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t>Branch</a:t>
          </a:r>
          <a:r>
            <a:rPr lang="en-IN" sz="1800" baseline="0"/>
            <a:t> </a:t>
          </a:r>
          <a:r>
            <a:rPr lang="en-IN" sz="1800"/>
            <a:t>Performance</a:t>
          </a:r>
        </a:p>
      </xdr:txBody>
    </xdr:sp>
    <xdr:clientData/>
  </xdr:twoCellAnchor>
  <xdr:oneCellAnchor>
    <xdr:from>
      <xdr:col>5</xdr:col>
      <xdr:colOff>939800</xdr:colOff>
      <xdr:row>4</xdr:row>
      <xdr:rowOff>133350</xdr:rowOff>
    </xdr:from>
    <xdr:ext cx="2451100" cy="660400"/>
    <xdr:sp macro="" textlink="">
      <xdr:nvSpPr>
        <xdr:cNvPr id="6" name="TextBox 5">
          <a:extLst>
            <a:ext uri="{FF2B5EF4-FFF2-40B4-BE49-F238E27FC236}">
              <a16:creationId xmlns:a16="http://schemas.microsoft.com/office/drawing/2014/main" id="{4B2A3144-1921-3614-3D93-B55F231332ED}"/>
            </a:ext>
          </a:extLst>
        </xdr:cNvPr>
        <xdr:cNvSpPr txBox="1"/>
      </xdr:nvSpPr>
      <xdr:spPr>
        <a:xfrm>
          <a:off x="5492750" y="1644650"/>
          <a:ext cx="2451100" cy="660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800" b="1"/>
            <a:t>No.1</a:t>
          </a:r>
          <a:r>
            <a:rPr lang="en-IN" sz="1800" b="1" baseline="0"/>
            <a:t> Sales Performance</a:t>
          </a:r>
        </a:p>
        <a:p>
          <a:r>
            <a:rPr lang="en-IN" sz="1800" b="1" baseline="0"/>
            <a:t>&amp;  % Contribution</a:t>
          </a:r>
          <a:endParaRPr lang="en-IN" sz="1800" b="1"/>
        </a:p>
      </xdr:txBody>
    </xdr:sp>
    <xdr:clientData/>
  </xdr:oneCellAnchor>
  <xdr:twoCellAnchor>
    <xdr:from>
      <xdr:col>7</xdr:col>
      <xdr:colOff>1993900</xdr:colOff>
      <xdr:row>5</xdr:row>
      <xdr:rowOff>146050</xdr:rowOff>
    </xdr:from>
    <xdr:to>
      <xdr:col>7</xdr:col>
      <xdr:colOff>4191000</xdr:colOff>
      <xdr:row>7</xdr:row>
      <xdr:rowOff>158750</xdr:rowOff>
    </xdr:to>
    <xdr:sp macro="" textlink="">
      <xdr:nvSpPr>
        <xdr:cNvPr id="7" name="TextBox 6">
          <a:extLst>
            <a:ext uri="{FF2B5EF4-FFF2-40B4-BE49-F238E27FC236}">
              <a16:creationId xmlns:a16="http://schemas.microsoft.com/office/drawing/2014/main" id="{04AE77CC-EB33-7DE6-5B45-2545EAF02F6A}"/>
            </a:ext>
          </a:extLst>
        </xdr:cNvPr>
        <xdr:cNvSpPr txBox="1"/>
      </xdr:nvSpPr>
      <xdr:spPr>
        <a:xfrm>
          <a:off x="8547100" y="1841500"/>
          <a:ext cx="2197100" cy="381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t>Monthly</a:t>
          </a:r>
          <a:r>
            <a:rPr lang="en-IN" sz="1800" baseline="0"/>
            <a:t> Scales Trend</a:t>
          </a:r>
          <a:endParaRPr lang="en-IN" sz="1800"/>
        </a:p>
      </xdr:txBody>
    </xdr:sp>
    <xdr:clientData/>
  </xdr:twoCellAnchor>
  <xdr:twoCellAnchor editAs="oneCell">
    <xdr:from>
      <xdr:col>7</xdr:col>
      <xdr:colOff>2711450</xdr:colOff>
      <xdr:row>49</xdr:row>
      <xdr:rowOff>63500</xdr:rowOff>
    </xdr:from>
    <xdr:to>
      <xdr:col>7</xdr:col>
      <xdr:colOff>4540250</xdr:colOff>
      <xdr:row>63</xdr:row>
      <xdr:rowOff>9525</xdr:rowOff>
    </xdr:to>
    <mc:AlternateContent xmlns:mc="http://schemas.openxmlformats.org/markup-compatibility/2006" xmlns:a14="http://schemas.microsoft.com/office/drawing/2010/main">
      <mc:Choice Requires="a14">
        <xdr:graphicFrame macro="">
          <xdr:nvGraphicFramePr>
            <xdr:cNvPr id="8" name="Category 1">
              <a:extLst>
                <a:ext uri="{FF2B5EF4-FFF2-40B4-BE49-F238E27FC236}">
                  <a16:creationId xmlns:a16="http://schemas.microsoft.com/office/drawing/2014/main" id="{DCCFF49E-1182-0CCC-EF2E-568E24652CB8}"/>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9264650" y="92646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368300</xdr:colOff>
      <xdr:row>48</xdr:row>
      <xdr:rowOff>120650</xdr:rowOff>
    </xdr:from>
    <xdr:to>
      <xdr:col>5</xdr:col>
      <xdr:colOff>1181100</xdr:colOff>
      <xdr:row>62</xdr:row>
      <xdr:rowOff>66675</xdr:rowOff>
    </xdr:to>
    <mc:AlternateContent xmlns:mc="http://schemas.openxmlformats.org/markup-compatibility/2006" xmlns:a14="http://schemas.microsoft.com/office/drawing/2010/main">
      <mc:Choice Requires="a14">
        <xdr:graphicFrame macro="">
          <xdr:nvGraphicFramePr>
            <xdr:cNvPr id="10" name="Months (Order Date) 1">
              <a:extLst>
                <a:ext uri="{FF2B5EF4-FFF2-40B4-BE49-F238E27FC236}">
                  <a16:creationId xmlns:a16="http://schemas.microsoft.com/office/drawing/2014/main" id="{D512513B-912C-5B9D-7D14-1D59454E1CDE}"/>
                </a:ext>
              </a:extLst>
            </xdr:cNvPr>
            <xdr:cNvGraphicFramePr/>
          </xdr:nvGraphicFramePr>
          <xdr:xfrm>
            <a:off x="0" y="0"/>
            <a:ext cx="0" cy="0"/>
          </xdr:xfrm>
          <a:graphic>
            <a:graphicData uri="http://schemas.microsoft.com/office/drawing/2010/slicer">
              <sle:slicer xmlns:sle="http://schemas.microsoft.com/office/drawing/2010/slicer" name="Months (Order Date) 1"/>
            </a:graphicData>
          </a:graphic>
        </xdr:graphicFrame>
      </mc:Choice>
      <mc:Fallback xmlns="">
        <xdr:sp macro="" textlink="">
          <xdr:nvSpPr>
            <xdr:cNvPr id="0" name=""/>
            <xdr:cNvSpPr>
              <a:spLocks noTextEdit="1"/>
            </xdr:cNvSpPr>
          </xdr:nvSpPr>
          <xdr:spPr>
            <a:xfrm>
              <a:off x="3905250" y="91376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311150</xdr:colOff>
      <xdr:row>49</xdr:row>
      <xdr:rowOff>31750</xdr:rowOff>
    </xdr:from>
    <xdr:to>
      <xdr:col>7</xdr:col>
      <xdr:colOff>1530350</xdr:colOff>
      <xdr:row>62</xdr:row>
      <xdr:rowOff>161925</xdr:rowOff>
    </xdr:to>
    <mc:AlternateContent xmlns:mc="http://schemas.openxmlformats.org/markup-compatibility/2006" xmlns:a14="http://schemas.microsoft.com/office/drawing/2010/main">
      <mc:Choice Requires="a14">
        <xdr:graphicFrame macro="">
          <xdr:nvGraphicFramePr>
            <xdr:cNvPr id="15" name="City 1">
              <a:extLst>
                <a:ext uri="{FF2B5EF4-FFF2-40B4-BE49-F238E27FC236}">
                  <a16:creationId xmlns:a16="http://schemas.microsoft.com/office/drawing/2014/main" id="{AF0399A3-816F-065D-7394-33EDE21C7A13}"/>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6254750" y="92329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355600</xdr:colOff>
      <xdr:row>49</xdr:row>
      <xdr:rowOff>31750</xdr:rowOff>
    </xdr:from>
    <xdr:to>
      <xdr:col>4</xdr:col>
      <xdr:colOff>6350</xdr:colOff>
      <xdr:row>62</xdr:row>
      <xdr:rowOff>161925</xdr:rowOff>
    </xdr:to>
    <mc:AlternateContent xmlns:mc="http://schemas.openxmlformats.org/markup-compatibility/2006" xmlns:a14="http://schemas.microsoft.com/office/drawing/2010/main">
      <mc:Choice Requires="a14">
        <xdr:graphicFrame macro="">
          <xdr:nvGraphicFramePr>
            <xdr:cNvPr id="17" name="% Contribution 1">
              <a:extLst>
                <a:ext uri="{FF2B5EF4-FFF2-40B4-BE49-F238E27FC236}">
                  <a16:creationId xmlns:a16="http://schemas.microsoft.com/office/drawing/2014/main" id="{7DE37259-EB20-32F9-A4AD-0AE963C447ED}"/>
                </a:ext>
              </a:extLst>
            </xdr:cNvPr>
            <xdr:cNvGraphicFramePr/>
          </xdr:nvGraphicFramePr>
          <xdr:xfrm>
            <a:off x="0" y="0"/>
            <a:ext cx="0" cy="0"/>
          </xdr:xfrm>
          <a:graphic>
            <a:graphicData uri="http://schemas.microsoft.com/office/drawing/2010/slicer">
              <sle:slicer xmlns:sle="http://schemas.microsoft.com/office/drawing/2010/slicer" name="% Contribution 1"/>
            </a:graphicData>
          </a:graphic>
        </xdr:graphicFrame>
      </mc:Choice>
      <mc:Fallback xmlns="">
        <xdr:sp macro="" textlink="">
          <xdr:nvSpPr>
            <xdr:cNvPr id="0" name=""/>
            <xdr:cNvSpPr>
              <a:spLocks noTextEdit="1"/>
            </xdr:cNvSpPr>
          </xdr:nvSpPr>
          <xdr:spPr>
            <a:xfrm>
              <a:off x="1714500" y="92329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844550</xdr:colOff>
      <xdr:row>11</xdr:row>
      <xdr:rowOff>69850</xdr:rowOff>
    </xdr:from>
    <xdr:to>
      <xdr:col>7</xdr:col>
      <xdr:colOff>4235450</xdr:colOff>
      <xdr:row>30</xdr:row>
      <xdr:rowOff>6350</xdr:rowOff>
    </xdr:to>
    <xdr:sp macro="" textlink="">
      <xdr:nvSpPr>
        <xdr:cNvPr id="31" name="Rectangle: Rounded Corners 30">
          <a:extLst>
            <a:ext uri="{FF2B5EF4-FFF2-40B4-BE49-F238E27FC236}">
              <a16:creationId xmlns:a16="http://schemas.microsoft.com/office/drawing/2014/main" id="{CF523879-3409-41F2-B81D-E9AE7DCB65D5}"/>
            </a:ext>
          </a:extLst>
        </xdr:cNvPr>
        <xdr:cNvSpPr/>
      </xdr:nvSpPr>
      <xdr:spPr>
        <a:xfrm>
          <a:off x="5397500" y="2870200"/>
          <a:ext cx="5391150" cy="3435350"/>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1104900</xdr:colOff>
      <xdr:row>12</xdr:row>
      <xdr:rowOff>25400</xdr:rowOff>
    </xdr:from>
    <xdr:to>
      <xdr:col>7</xdr:col>
      <xdr:colOff>4038600</xdr:colOff>
      <xdr:row>29</xdr:row>
      <xdr:rowOff>6350</xdr:rowOff>
    </xdr:to>
    <xdr:graphicFrame macro="">
      <xdr:nvGraphicFramePr>
        <xdr:cNvPr id="32" name="Chart 31">
          <a:extLst>
            <a:ext uri="{FF2B5EF4-FFF2-40B4-BE49-F238E27FC236}">
              <a16:creationId xmlns:a16="http://schemas.microsoft.com/office/drawing/2014/main" id="{913102C9-8E72-4AF4-8F39-746A80DB16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0</xdr:colOff>
      <xdr:row>10</xdr:row>
      <xdr:rowOff>165100</xdr:rowOff>
    </xdr:from>
    <xdr:to>
      <xdr:col>5</xdr:col>
      <xdr:colOff>730250</xdr:colOff>
      <xdr:row>30</xdr:row>
      <xdr:rowOff>38100</xdr:rowOff>
    </xdr:to>
    <xdr:sp macro="" textlink="">
      <xdr:nvSpPr>
        <xdr:cNvPr id="33" name="Rectangle: Rounded Corners 32">
          <a:extLst>
            <a:ext uri="{FF2B5EF4-FFF2-40B4-BE49-F238E27FC236}">
              <a16:creationId xmlns:a16="http://schemas.microsoft.com/office/drawing/2014/main" id="{0A563527-C6E2-48C5-B62C-C46AE816D31A}"/>
            </a:ext>
          </a:extLst>
        </xdr:cNvPr>
        <xdr:cNvSpPr/>
      </xdr:nvSpPr>
      <xdr:spPr>
        <a:xfrm>
          <a:off x="0" y="2781300"/>
          <a:ext cx="5283200" cy="3556000"/>
        </a:xfrm>
        <a:prstGeom prst="roundRect">
          <a:avLst/>
        </a:prstGeom>
        <a:ln>
          <a:solidFill>
            <a:schemeClr val="bg2"/>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107950</xdr:colOff>
      <xdr:row>12</xdr:row>
      <xdr:rowOff>69850</xdr:rowOff>
    </xdr:from>
    <xdr:to>
      <xdr:col>5</xdr:col>
      <xdr:colOff>603250</xdr:colOff>
      <xdr:row>26</xdr:row>
      <xdr:rowOff>76200</xdr:rowOff>
    </xdr:to>
    <xdr:graphicFrame macro="">
      <xdr:nvGraphicFramePr>
        <xdr:cNvPr id="34" name="Chart 33">
          <a:extLst>
            <a:ext uri="{FF2B5EF4-FFF2-40B4-BE49-F238E27FC236}">
              <a16:creationId xmlns:a16="http://schemas.microsoft.com/office/drawing/2014/main" id="{0799FF48-6487-4B79-AC85-BD36E3C013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0</xdr:colOff>
      <xdr:row>30</xdr:row>
      <xdr:rowOff>158750</xdr:rowOff>
    </xdr:from>
    <xdr:to>
      <xdr:col>5</xdr:col>
      <xdr:colOff>781050</xdr:colOff>
      <xdr:row>46</xdr:row>
      <xdr:rowOff>12700</xdr:rowOff>
    </xdr:to>
    <xdr:sp macro="" textlink="">
      <xdr:nvSpPr>
        <xdr:cNvPr id="35" name="Rectangle: Rounded Corners 34">
          <a:extLst>
            <a:ext uri="{FF2B5EF4-FFF2-40B4-BE49-F238E27FC236}">
              <a16:creationId xmlns:a16="http://schemas.microsoft.com/office/drawing/2014/main" id="{57D9D2AF-3E80-4BA9-AF66-C1362A7B1BE0}"/>
            </a:ext>
          </a:extLst>
        </xdr:cNvPr>
        <xdr:cNvSpPr/>
      </xdr:nvSpPr>
      <xdr:spPr>
        <a:xfrm>
          <a:off x="0" y="6457950"/>
          <a:ext cx="5334000" cy="2800350"/>
        </a:xfrm>
        <a:prstGeom prst="roundRect">
          <a:avLst/>
        </a:prstGeom>
        <a:solidFill>
          <a:schemeClr val="accent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234950</xdr:colOff>
      <xdr:row>31</xdr:row>
      <xdr:rowOff>63500</xdr:rowOff>
    </xdr:from>
    <xdr:to>
      <xdr:col>5</xdr:col>
      <xdr:colOff>533400</xdr:colOff>
      <xdr:row>45</xdr:row>
      <xdr:rowOff>120650</xdr:rowOff>
    </xdr:to>
    <xdr:graphicFrame macro="">
      <xdr:nvGraphicFramePr>
        <xdr:cNvPr id="36" name="Chart 35">
          <a:extLst>
            <a:ext uri="{FF2B5EF4-FFF2-40B4-BE49-F238E27FC236}">
              <a16:creationId xmlns:a16="http://schemas.microsoft.com/office/drawing/2014/main" id="{843E49FA-E009-4DBC-9832-9D3D8DBBC9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xdr:col>
      <xdr:colOff>882650</xdr:colOff>
      <xdr:row>30</xdr:row>
      <xdr:rowOff>139700</xdr:rowOff>
    </xdr:from>
    <xdr:to>
      <xdr:col>7</xdr:col>
      <xdr:colOff>4203700</xdr:colOff>
      <xdr:row>45</xdr:row>
      <xdr:rowOff>177800</xdr:rowOff>
    </xdr:to>
    <xdr:sp macro="" textlink="">
      <xdr:nvSpPr>
        <xdr:cNvPr id="37" name="Rectangle: Rounded Corners 36">
          <a:extLst>
            <a:ext uri="{FF2B5EF4-FFF2-40B4-BE49-F238E27FC236}">
              <a16:creationId xmlns:a16="http://schemas.microsoft.com/office/drawing/2014/main" id="{36BAED6D-5A71-43F1-88E4-F2226B8003D2}"/>
            </a:ext>
          </a:extLst>
        </xdr:cNvPr>
        <xdr:cNvSpPr/>
      </xdr:nvSpPr>
      <xdr:spPr>
        <a:xfrm>
          <a:off x="5435600" y="6438900"/>
          <a:ext cx="5321300" cy="2800350"/>
        </a:xfrm>
        <a:prstGeom prst="roundRect">
          <a:avLst>
            <a:gd name="adj" fmla="val 15272"/>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1155700</xdr:colOff>
      <xdr:row>31</xdr:row>
      <xdr:rowOff>6351</xdr:rowOff>
    </xdr:from>
    <xdr:to>
      <xdr:col>7</xdr:col>
      <xdr:colOff>3968750</xdr:colOff>
      <xdr:row>45</xdr:row>
      <xdr:rowOff>114300</xdr:rowOff>
    </xdr:to>
    <xdr:graphicFrame macro="">
      <xdr:nvGraphicFramePr>
        <xdr:cNvPr id="38" name="Chart 37">
          <a:extLst>
            <a:ext uri="{FF2B5EF4-FFF2-40B4-BE49-F238E27FC236}">
              <a16:creationId xmlns:a16="http://schemas.microsoft.com/office/drawing/2014/main" id="{73B937DC-09A7-4627-B783-E698A59C16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7</xdr:col>
      <xdr:colOff>2482850</xdr:colOff>
      <xdr:row>0</xdr:row>
      <xdr:rowOff>101600</xdr:rowOff>
    </xdr:from>
    <xdr:to>
      <xdr:col>7</xdr:col>
      <xdr:colOff>3705352</xdr:colOff>
      <xdr:row>2</xdr:row>
      <xdr:rowOff>174498</xdr:rowOff>
    </xdr:to>
    <xdr:sp macro="" textlink="">
      <xdr:nvSpPr>
        <xdr:cNvPr id="2" name="Ribbon: Tilted Down 1">
          <a:extLst>
            <a:ext uri="{FF2B5EF4-FFF2-40B4-BE49-F238E27FC236}">
              <a16:creationId xmlns:a16="http://schemas.microsoft.com/office/drawing/2014/main" id="{268CE672-9C10-4A2E-B8E6-19C8D86FEF20}"/>
            </a:ext>
          </a:extLst>
        </xdr:cNvPr>
        <xdr:cNvSpPr/>
      </xdr:nvSpPr>
      <xdr:spPr>
        <a:xfrm>
          <a:off x="9045575" y="101600"/>
          <a:ext cx="1222502" cy="615823"/>
        </a:xfrm>
        <a:prstGeom prst="ribbon">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7</xdr:col>
      <xdr:colOff>4445000</xdr:colOff>
      <xdr:row>0</xdr:row>
      <xdr:rowOff>0</xdr:rowOff>
    </xdr:from>
    <xdr:to>
      <xdr:col>8</xdr:col>
      <xdr:colOff>228600</xdr:colOff>
      <xdr:row>2</xdr:row>
      <xdr:rowOff>85725</xdr:rowOff>
    </xdr:to>
    <xdr:pic>
      <xdr:nvPicPr>
        <xdr:cNvPr id="14" name="Graphic 13" descr="Balloons with solid fill">
          <a:extLst>
            <a:ext uri="{FF2B5EF4-FFF2-40B4-BE49-F238E27FC236}">
              <a16:creationId xmlns:a16="http://schemas.microsoft.com/office/drawing/2014/main" id="{347DFCC0-F7EF-2559-7620-6CBDF8FA35BF}"/>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1007725" y="0"/>
          <a:ext cx="917575" cy="62865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241300</xdr:colOff>
      <xdr:row>4</xdr:row>
      <xdr:rowOff>25400</xdr:rowOff>
    </xdr:from>
    <xdr:to>
      <xdr:col>15</xdr:col>
      <xdr:colOff>139700</xdr:colOff>
      <xdr:row>7</xdr:row>
      <xdr:rowOff>158750</xdr:rowOff>
    </xdr:to>
    <xdr:sp macro="" textlink="">
      <xdr:nvSpPr>
        <xdr:cNvPr id="2" name="Rectangle: Rounded Corners 1">
          <a:extLst>
            <a:ext uri="{FF2B5EF4-FFF2-40B4-BE49-F238E27FC236}">
              <a16:creationId xmlns:a16="http://schemas.microsoft.com/office/drawing/2014/main" id="{6D7F3AFB-2114-BEEE-8E7F-9B24AA97BE32}"/>
            </a:ext>
          </a:extLst>
        </xdr:cNvPr>
        <xdr:cNvSpPr/>
      </xdr:nvSpPr>
      <xdr:spPr>
        <a:xfrm>
          <a:off x="850900" y="812800"/>
          <a:ext cx="8432800" cy="685800"/>
        </a:xfrm>
        <a:prstGeom prst="roundRect">
          <a:avLst/>
        </a:prstGeom>
        <a:ln>
          <a:solidFill>
            <a:schemeClr val="accent2">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The</a:t>
          </a:r>
          <a:r>
            <a:rPr lang="en-IN" sz="1100" baseline="0"/>
            <a:t> Objective of this project is to analyze that Customer Online Purchase from Online E Commerce to understand this sales performance, identify top selling products, evaluate branch wiseperformance,and study customer buying patterns. The project aims to use EXCEL TOOLS, such as Pivot Tables,Slicers,Charts and Dashboards to perform raw data into meaningful insights for better business decision making.</a:t>
          </a:r>
          <a:endParaRPr lang="en-IN" sz="1100"/>
        </a:p>
      </xdr:txBody>
    </xdr:sp>
    <xdr:clientData/>
  </xdr:twoCellAnchor>
  <xdr:twoCellAnchor>
    <xdr:from>
      <xdr:col>1</xdr:col>
      <xdr:colOff>266700</xdr:colOff>
      <xdr:row>10</xdr:row>
      <xdr:rowOff>177800</xdr:rowOff>
    </xdr:from>
    <xdr:to>
      <xdr:col>15</xdr:col>
      <xdr:colOff>69850</xdr:colOff>
      <xdr:row>13</xdr:row>
      <xdr:rowOff>139700</xdr:rowOff>
    </xdr:to>
    <xdr:sp macro="" textlink="">
      <xdr:nvSpPr>
        <xdr:cNvPr id="3" name="Rectangle: Rounded Corners 2">
          <a:extLst>
            <a:ext uri="{FF2B5EF4-FFF2-40B4-BE49-F238E27FC236}">
              <a16:creationId xmlns:a16="http://schemas.microsoft.com/office/drawing/2014/main" id="{F743C8EC-797E-E4E9-E4AA-B64B833C0231}"/>
            </a:ext>
          </a:extLst>
        </xdr:cNvPr>
        <xdr:cNvSpPr/>
      </xdr:nvSpPr>
      <xdr:spPr>
        <a:xfrm>
          <a:off x="876300" y="2070100"/>
          <a:ext cx="8337550" cy="51435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The</a:t>
          </a:r>
          <a:r>
            <a:rPr lang="en-IN" sz="1100" baseline="0"/>
            <a:t> Dataset used in this project consists of approximately 500 records(rows) and 11 attribute (Columns).The data includes details </a:t>
          </a:r>
          <a:r>
            <a:rPr lang="en-IN" sz="1100" b="1" i="0" u="none" strike="noStrike">
              <a:solidFill>
                <a:schemeClr val="dk1"/>
              </a:solidFill>
              <a:effectLst/>
              <a:latin typeface="+mn-lt"/>
              <a:ea typeface="+mn-ea"/>
              <a:cs typeface="+mn-cs"/>
            </a:rPr>
            <a:t>Customer ID,</a:t>
          </a:r>
          <a:r>
            <a:rPr lang="en-IN">
              <a:effectLst/>
            </a:rPr>
            <a:t> </a:t>
          </a:r>
          <a:r>
            <a:rPr lang="en-IN" sz="1100" b="1" i="0" u="none" strike="noStrike">
              <a:solidFill>
                <a:schemeClr val="dk1"/>
              </a:solidFill>
              <a:effectLst/>
              <a:latin typeface="+mn-lt"/>
              <a:ea typeface="+mn-ea"/>
              <a:cs typeface="+mn-cs"/>
            </a:rPr>
            <a:t>Customer Name,</a:t>
          </a:r>
          <a:r>
            <a:rPr lang="en-IN">
              <a:effectLst/>
            </a:rPr>
            <a:t> </a:t>
          </a:r>
          <a:r>
            <a:rPr lang="en-IN" sz="1100" b="1" i="0" u="none" strike="noStrike">
              <a:solidFill>
                <a:schemeClr val="dk1"/>
              </a:solidFill>
              <a:effectLst/>
              <a:latin typeface="+mn-lt"/>
              <a:ea typeface="+mn-ea"/>
              <a:cs typeface="+mn-cs"/>
            </a:rPr>
            <a:t>Product</a:t>
          </a:r>
          <a:r>
            <a:rPr lang="en-IN">
              <a:effectLst/>
            </a:rPr>
            <a:t> </a:t>
          </a:r>
          <a:r>
            <a:rPr lang="en-IN" sz="1100" b="1" i="0" u="none" strike="noStrike">
              <a:solidFill>
                <a:schemeClr val="dk1"/>
              </a:solidFill>
              <a:effectLst/>
              <a:latin typeface="+mn-lt"/>
              <a:ea typeface="+mn-ea"/>
              <a:cs typeface="+mn-cs"/>
            </a:rPr>
            <a:t>Category,</a:t>
          </a:r>
          <a:r>
            <a:rPr lang="en-IN">
              <a:effectLst/>
            </a:rPr>
            <a:t> </a:t>
          </a:r>
          <a:r>
            <a:rPr lang="en-IN" sz="1100" b="1" i="0" u="none" strike="noStrike">
              <a:solidFill>
                <a:schemeClr val="dk1"/>
              </a:solidFill>
              <a:effectLst/>
              <a:latin typeface="+mn-lt"/>
              <a:ea typeface="+mn-ea"/>
              <a:cs typeface="+mn-cs"/>
            </a:rPr>
            <a:t>Quantity</a:t>
          </a:r>
          <a:r>
            <a:rPr lang="en-IN" sz="1100" b="0" i="0" u="none" strike="noStrike">
              <a:solidFill>
                <a:schemeClr val="dk1"/>
              </a:solidFill>
              <a:effectLst/>
              <a:latin typeface="+mn-lt"/>
              <a:ea typeface="+mn-ea"/>
              <a:cs typeface="+mn-cs"/>
            </a:rPr>
            <a:t>,</a:t>
          </a:r>
          <a:r>
            <a:rPr lang="en-IN" sz="1100" b="0" i="0" u="none" strike="noStrike" baseline="0">
              <a:solidFill>
                <a:schemeClr val="dk1"/>
              </a:solidFill>
              <a:effectLst/>
              <a:latin typeface="+mn-lt"/>
              <a:ea typeface="+mn-ea"/>
              <a:cs typeface="+mn-cs"/>
            </a:rPr>
            <a:t> </a:t>
          </a:r>
          <a:r>
            <a:rPr lang="en-IN" sz="1100" b="1" i="0" u="none" strike="noStrike">
              <a:solidFill>
                <a:schemeClr val="dk1"/>
              </a:solidFill>
              <a:effectLst/>
              <a:latin typeface="+mn-lt"/>
              <a:ea typeface="+mn-ea"/>
              <a:cs typeface="+mn-cs"/>
            </a:rPr>
            <a:t>Price,</a:t>
          </a:r>
          <a:r>
            <a:rPr lang="en-IN">
              <a:effectLst/>
            </a:rPr>
            <a:t> </a:t>
          </a:r>
          <a:r>
            <a:rPr lang="en-IN" sz="1100" b="1" i="0" u="none" strike="noStrike">
              <a:solidFill>
                <a:schemeClr val="dk1"/>
              </a:solidFill>
              <a:effectLst/>
              <a:latin typeface="+mn-lt"/>
              <a:ea typeface="+mn-ea"/>
              <a:cs typeface="+mn-cs"/>
            </a:rPr>
            <a:t>Total Amount,</a:t>
          </a:r>
          <a:r>
            <a:rPr lang="en-IN">
              <a:effectLst/>
            </a:rPr>
            <a:t> </a:t>
          </a:r>
          <a:r>
            <a:rPr lang="en-IN" sz="1100" b="1" i="0" u="none" strike="noStrike">
              <a:solidFill>
                <a:schemeClr val="dk1"/>
              </a:solidFill>
              <a:effectLst/>
              <a:latin typeface="+mn-lt"/>
              <a:ea typeface="+mn-ea"/>
              <a:cs typeface="+mn-cs"/>
            </a:rPr>
            <a:t>Order Date,</a:t>
          </a:r>
          <a:r>
            <a:rPr lang="en-IN">
              <a:effectLst/>
            </a:rPr>
            <a:t> </a:t>
          </a:r>
          <a:r>
            <a:rPr lang="en-IN" sz="1100" b="1" i="0" u="none" strike="noStrike">
              <a:solidFill>
                <a:schemeClr val="dk1"/>
              </a:solidFill>
              <a:effectLst/>
              <a:latin typeface="+mn-lt"/>
              <a:ea typeface="+mn-ea"/>
              <a:cs typeface="+mn-cs"/>
            </a:rPr>
            <a:t>City,</a:t>
          </a:r>
          <a:r>
            <a:rPr lang="en-IN">
              <a:effectLst/>
            </a:rPr>
            <a:t> </a:t>
          </a:r>
          <a:r>
            <a:rPr lang="en-IN" sz="1100" b="1" i="0" u="none" strike="noStrike">
              <a:solidFill>
                <a:schemeClr val="dk1"/>
              </a:solidFill>
              <a:effectLst/>
              <a:latin typeface="+mn-lt"/>
              <a:ea typeface="+mn-ea"/>
              <a:cs typeface="+mn-cs"/>
            </a:rPr>
            <a:t>Payment Mode,</a:t>
          </a:r>
          <a:r>
            <a:rPr lang="en-IN">
              <a:effectLst/>
            </a:rPr>
            <a:t> </a:t>
          </a:r>
          <a:r>
            <a:rPr lang="en-IN" sz="1100" b="1" i="0" u="none" strike="noStrike">
              <a:solidFill>
                <a:schemeClr val="dk1"/>
              </a:solidFill>
              <a:effectLst/>
              <a:latin typeface="+mn-lt"/>
              <a:ea typeface="+mn-ea"/>
              <a:cs typeface="+mn-cs"/>
            </a:rPr>
            <a:t>Rating</a:t>
          </a:r>
          <a:r>
            <a:rPr lang="en-IN" sz="1100" b="0" i="0" u="none" strike="noStrike">
              <a:solidFill>
                <a:schemeClr val="dk1"/>
              </a:solidFill>
              <a:effectLst/>
              <a:latin typeface="+mn-lt"/>
              <a:ea typeface="+mn-ea"/>
              <a:cs typeface="+mn-cs"/>
            </a:rPr>
            <a:t>.</a:t>
          </a:r>
          <a:endParaRPr lang="en-IN" sz="1100"/>
        </a:p>
      </xdr:txBody>
    </xdr:sp>
    <xdr:clientData/>
  </xdr:twoCellAnchor>
  <xdr:twoCellAnchor>
    <xdr:from>
      <xdr:col>1</xdr:col>
      <xdr:colOff>342899</xdr:colOff>
      <xdr:row>17</xdr:row>
      <xdr:rowOff>76200</xdr:rowOff>
    </xdr:from>
    <xdr:to>
      <xdr:col>10</xdr:col>
      <xdr:colOff>393699</xdr:colOff>
      <xdr:row>26</xdr:row>
      <xdr:rowOff>161925</xdr:rowOff>
    </xdr:to>
    <xdr:sp macro="" textlink="">
      <xdr:nvSpPr>
        <xdr:cNvPr id="5" name="TextBox 4">
          <a:extLst>
            <a:ext uri="{FF2B5EF4-FFF2-40B4-BE49-F238E27FC236}">
              <a16:creationId xmlns:a16="http://schemas.microsoft.com/office/drawing/2014/main" id="{F2EE292C-7F1F-CEDC-AE60-D14C387C8855}"/>
            </a:ext>
          </a:extLst>
        </xdr:cNvPr>
        <xdr:cNvSpPr txBox="1"/>
      </xdr:nvSpPr>
      <xdr:spPr>
        <a:xfrm>
          <a:off x="952499" y="3209925"/>
          <a:ext cx="5537200" cy="1714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Pivot Table to Summarize and analyze large datasets</a:t>
          </a:r>
        </a:p>
        <a:p>
          <a:r>
            <a:rPr lang="en-IN" sz="1100"/>
            <a:t>Charts (Bar, Line, Pie) - to visualize sales trends and comparisons</a:t>
          </a:r>
        </a:p>
        <a:p>
          <a:r>
            <a:rPr lang="en-IN" sz="1100"/>
            <a:t>Slicers to apply interactive filters for product</a:t>
          </a:r>
          <a:r>
            <a:rPr lang="en-IN" sz="1100" baseline="0"/>
            <a:t> and</a:t>
          </a:r>
          <a:r>
            <a:rPr lang="en-IN" sz="1100"/>
            <a:t> branch</a:t>
          </a:r>
        </a:p>
        <a:p>
          <a:r>
            <a:rPr lang="en-IN" sz="1100"/>
            <a:t>Conditional Formatting - to highlight important data like high/low </a:t>
          </a:r>
        </a:p>
        <a:p>
          <a:r>
            <a:rPr lang="en-IN" sz="1100"/>
            <a:t>SalesSparklines - to show trends within individual cells</a:t>
          </a:r>
        </a:p>
        <a:p>
          <a:r>
            <a:rPr lang="en-IN" sz="1100"/>
            <a:t>Formulas &amp; Functions (</a:t>
          </a:r>
          <a:r>
            <a:rPr lang="en-IN" sz="1100" b="0" i="0" u="none" strike="noStrike">
              <a:solidFill>
                <a:schemeClr val="dk1"/>
              </a:solidFill>
              <a:effectLst/>
              <a:latin typeface="+mn-lt"/>
              <a:ea typeface="+mn-ea"/>
              <a:cs typeface="+mn-cs"/>
            </a:rPr>
            <a:t>SUM,AVERAGE,Maximum,Minimum,Total,</a:t>
          </a:r>
          <a:r>
            <a:rPr lang="en-IN" sz="1100" b="0" i="0" u="none" strike="noStrike" baseline="0">
              <a:solidFill>
                <a:schemeClr val="dk1"/>
              </a:solidFill>
              <a:effectLst/>
              <a:latin typeface="+mn-lt"/>
              <a:ea typeface="+mn-ea"/>
              <a:cs typeface="+mn-cs"/>
            </a:rPr>
            <a:t>Counta,</a:t>
          </a:r>
          <a:r>
            <a:rPr lang="en-IN" sz="1100" b="0" i="0" u="none" strike="noStrike">
              <a:solidFill>
                <a:schemeClr val="dk1"/>
              </a:solidFill>
              <a:effectLst/>
              <a:latin typeface="+mn-lt"/>
              <a:ea typeface="+mn-ea"/>
              <a:cs typeface="+mn-cs"/>
            </a:rPr>
            <a:t>Average,Index,Match,Index Match,lookup Function,Text</a:t>
          </a:r>
          <a:r>
            <a:rPr lang="en-IN" sz="1100" b="0" i="0" u="none" strike="noStrike" baseline="0">
              <a:solidFill>
                <a:schemeClr val="dk1"/>
              </a:solidFill>
              <a:effectLst/>
              <a:latin typeface="+mn-lt"/>
              <a:ea typeface="+mn-ea"/>
              <a:cs typeface="+mn-cs"/>
            </a:rPr>
            <a:t> Function,Date function,Time Function,Iserror Function</a:t>
          </a:r>
          <a:r>
            <a:rPr lang="en-IN" sz="1100" b="0" i="0" u="none" strike="noStrike">
              <a:solidFill>
                <a:schemeClr val="dk1"/>
              </a:solidFill>
              <a:effectLst/>
              <a:latin typeface="+mn-lt"/>
              <a:ea typeface="+mn-ea"/>
              <a:cs typeface="+mn-cs"/>
            </a:rPr>
            <a:t>)</a:t>
          </a:r>
          <a:endParaRPr lang="en-IN">
            <a:effectLst/>
          </a:endParaRPr>
        </a:p>
        <a:p>
          <a:r>
            <a:rPr lang="en-IN" sz="1100"/>
            <a:t>Dashboard - to combine all insights into a clear and interactive view</a:t>
          </a:r>
        </a:p>
      </xdr:txBody>
    </xdr:sp>
    <xdr:clientData/>
  </xdr:twoCellAnchor>
  <xdr:twoCellAnchor editAs="oneCell">
    <xdr:from>
      <xdr:col>0</xdr:col>
      <xdr:colOff>101600</xdr:colOff>
      <xdr:row>17</xdr:row>
      <xdr:rowOff>171450</xdr:rowOff>
    </xdr:from>
    <xdr:to>
      <xdr:col>1</xdr:col>
      <xdr:colOff>409575</xdr:colOff>
      <xdr:row>22</xdr:row>
      <xdr:rowOff>161925</xdr:rowOff>
    </xdr:to>
    <xdr:pic>
      <xdr:nvPicPr>
        <xdr:cNvPr id="8" name="Graphic 7" descr="Lightbulb and gear with solid fill">
          <a:extLst>
            <a:ext uri="{FF2B5EF4-FFF2-40B4-BE49-F238E27FC236}">
              <a16:creationId xmlns:a16="http://schemas.microsoft.com/office/drawing/2014/main" id="{479CD0AC-7BCA-C7ED-2A11-2FD6B1735CD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1600" y="3352800"/>
          <a:ext cx="914400" cy="9144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oneCellAnchor>
    <xdr:from>
      <xdr:col>6</xdr:col>
      <xdr:colOff>0</xdr:colOff>
      <xdr:row>1</xdr:row>
      <xdr:rowOff>0</xdr:rowOff>
    </xdr:from>
    <xdr:ext cx="5400000" cy="2700000"/>
    <xdr:graphicFrame macro="">
      <xdr:nvGraphicFramePr>
        <xdr:cNvPr id="2" name="Chart 1">
          <a:extLst>
            <a:ext uri="{FF2B5EF4-FFF2-40B4-BE49-F238E27FC236}">
              <a16:creationId xmlns:a16="http://schemas.microsoft.com/office/drawing/2014/main" id="{1BC3DE82-3E2A-5844-97BF-358A46514C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6</xdr:col>
      <xdr:colOff>0</xdr:colOff>
      <xdr:row>17</xdr:row>
      <xdr:rowOff>0</xdr:rowOff>
    </xdr:from>
    <xdr:ext cx="5400000" cy="2700000"/>
    <xdr:graphicFrame macro="">
      <xdr:nvGraphicFramePr>
        <xdr:cNvPr id="3" name="Chart 2">
          <a:extLst>
            <a:ext uri="{FF2B5EF4-FFF2-40B4-BE49-F238E27FC236}">
              <a16:creationId xmlns:a16="http://schemas.microsoft.com/office/drawing/2014/main" id="{5CB89579-9D54-9244-962D-618625902D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ed5d6c8023b61479/Desktop/Online_Shopping_Analytics_Project%20(1).xlsx"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ooja Ganesh" refreshedDate="46197.522553819443" createdVersion="8" refreshedVersion="8" minRefreshableVersion="3" recordCount="500" xr:uid="{65A6A3EE-AE0F-453D-8308-4748E80ED19A}">
  <cacheSource type="worksheet">
    <worksheetSource ref="A1:K501" sheet="Online Shopping Customer Data"/>
  </cacheSource>
  <cacheFields count="13">
    <cacheField name="Customer ID" numFmtId="0">
      <sharedItems/>
    </cacheField>
    <cacheField name="Customer Name" numFmtId="0">
      <sharedItems/>
    </cacheField>
    <cacheField name="Product" numFmtId="0">
      <sharedItems count="12">
        <s v="Keyboard"/>
        <s v="Bag"/>
        <s v="Shoes"/>
        <s v="Mobile"/>
        <s v="Watch"/>
        <s v="Headphones"/>
        <s v="T-Shirt"/>
        <s v="Book"/>
        <s v="Tablet"/>
        <s v="Laptop"/>
        <s v="Mixer"/>
        <s v="Chair"/>
      </sharedItems>
    </cacheField>
    <cacheField name="Category" numFmtId="0">
      <sharedItems count="6">
        <s v="Electronics"/>
        <s v="Accessories"/>
        <s v="Fashion"/>
        <s v="Education"/>
        <s v="Home"/>
        <s v="Furniture"/>
      </sharedItems>
    </cacheField>
    <cacheField name="Quantity" numFmtId="0">
      <sharedItems containsSemiMixedTypes="0" containsString="0" containsNumber="1" containsInteger="1" minValue="1" maxValue="5"/>
    </cacheField>
    <cacheField name="Price" numFmtId="0">
      <sharedItems containsSemiMixedTypes="0" containsString="0" containsNumber="1" containsInteger="1" minValue="309" maxValue="49984"/>
    </cacheField>
    <cacheField name="Total Amount" numFmtId="0">
      <sharedItems containsSemiMixedTypes="0" containsString="0" containsNumber="1" containsInteger="1" minValue="1161" maxValue="249840" count="500">
        <n v="37967"/>
        <n v="56235"/>
        <n v="81965"/>
        <n v="137463"/>
        <n v="88300"/>
        <n v="211885"/>
        <n v="21701"/>
        <n v="93974"/>
        <n v="152485"/>
        <n v="47360"/>
        <n v="177268"/>
        <n v="107430"/>
        <n v="48794"/>
        <n v="120708"/>
        <n v="36400"/>
        <n v="20457"/>
        <n v="83088"/>
        <n v="24756"/>
        <n v="174732"/>
        <n v="22414"/>
        <n v="43615"/>
        <n v="57468"/>
        <n v="35805"/>
        <n v="39399"/>
        <n v="43758"/>
        <n v="27872"/>
        <n v="186092"/>
        <n v="185088"/>
        <n v="25538"/>
        <n v="69615"/>
        <n v="181936"/>
        <n v="112722"/>
        <n v="20702"/>
        <n v="2775"/>
        <n v="149028"/>
        <n v="17907"/>
        <n v="20738"/>
        <n v="1545"/>
        <n v="6167"/>
        <n v="8344"/>
        <n v="39992"/>
        <n v="8972"/>
        <n v="76772"/>
        <n v="33480"/>
        <n v="19700"/>
        <n v="47724"/>
        <n v="63020"/>
        <n v="22786"/>
        <n v="121550"/>
        <n v="110304"/>
        <n v="162410"/>
        <n v="59158"/>
        <n v="57216"/>
        <n v="96336"/>
        <n v="60024"/>
        <n v="72320"/>
        <n v="9542"/>
        <n v="125248"/>
        <n v="167990"/>
        <n v="63102"/>
        <n v="18514"/>
        <n v="73260"/>
        <n v="67480"/>
        <n v="128776"/>
        <n v="74480"/>
        <n v="38925"/>
        <n v="34963"/>
        <n v="67101"/>
        <n v="21314"/>
        <n v="181380"/>
        <n v="98769"/>
        <n v="47776"/>
        <n v="96549"/>
        <n v="145461"/>
        <n v="36031"/>
        <n v="34071"/>
        <n v="39776"/>
        <n v="36918"/>
        <n v="119220"/>
        <n v="40471"/>
        <n v="46209"/>
        <n v="35696"/>
        <n v="17305"/>
        <n v="231940"/>
        <n v="33565"/>
        <n v="141285"/>
        <n v="185340"/>
        <n v="99801"/>
        <n v="29290"/>
        <n v="142062"/>
        <n v="26480"/>
        <n v="17191"/>
        <n v="47185"/>
        <n v="55860"/>
        <n v="6729"/>
        <n v="43083"/>
        <n v="103170"/>
        <n v="62428"/>
        <n v="131193"/>
        <n v="202585"/>
        <n v="175540"/>
        <n v="46474"/>
        <n v="81055"/>
        <n v="112468"/>
        <n v="42459"/>
        <n v="39282"/>
        <n v="147845"/>
        <n v="146442"/>
        <n v="122361"/>
        <n v="46257"/>
        <n v="36881"/>
        <n v="87268"/>
        <n v="45054"/>
        <n v="45609"/>
        <n v="36644"/>
        <n v="181200"/>
        <n v="175732"/>
        <n v="98455"/>
        <n v="248225"/>
        <n v="3412"/>
        <n v="77818"/>
        <n v="87902"/>
        <n v="93918"/>
        <n v="54994"/>
        <n v="34660"/>
        <n v="34812"/>
        <n v="22124"/>
        <n v="88556"/>
        <n v="33490"/>
        <n v="35502"/>
        <n v="50618"/>
        <n v="107667"/>
        <n v="3036"/>
        <n v="20115"/>
        <n v="32012"/>
        <n v="211740"/>
        <n v="58130"/>
        <n v="237260"/>
        <n v="27899"/>
        <n v="9620"/>
        <n v="177295"/>
        <n v="124735"/>
        <n v="51160"/>
        <n v="98550"/>
        <n v="227325"/>
        <n v="3693"/>
        <n v="76428"/>
        <n v="80130"/>
        <n v="10366"/>
        <n v="64210"/>
        <n v="141335"/>
        <n v="187120"/>
        <n v="121528"/>
        <n v="11357"/>
        <n v="224470"/>
        <n v="93512"/>
        <n v="64410"/>
        <n v="38690"/>
        <n v="107382"/>
        <n v="8856"/>
        <n v="11817"/>
        <n v="5848"/>
        <n v="44117"/>
        <n v="12734"/>
        <n v="208330"/>
        <n v="59798"/>
        <n v="5570"/>
        <n v="168452"/>
        <n v="6960"/>
        <n v="41097"/>
        <n v="3170"/>
        <n v="97528"/>
        <n v="158940"/>
        <n v="65596"/>
        <n v="113970"/>
        <n v="62751"/>
        <n v="75100"/>
        <n v="152288"/>
        <n v="33674"/>
        <n v="146775"/>
        <n v="45235"/>
        <n v="84222"/>
        <n v="73448"/>
        <n v="89614"/>
        <n v="1977"/>
        <n v="31761"/>
        <n v="82512"/>
        <n v="14060"/>
        <n v="231975"/>
        <n v="14156"/>
        <n v="92646"/>
        <n v="96912"/>
        <n v="49234"/>
        <n v="68598"/>
        <n v="151192"/>
        <n v="163204"/>
        <n v="46040"/>
        <n v="27710"/>
        <n v="145728"/>
        <n v="114392"/>
        <n v="6765"/>
        <n v="70740"/>
        <n v="100824"/>
        <n v="223880"/>
        <n v="119604"/>
        <n v="85068"/>
        <n v="155295"/>
        <n v="177336"/>
        <n v="28552"/>
        <n v="61256"/>
        <n v="132320"/>
        <n v="57748"/>
        <n v="209685"/>
        <n v="51076"/>
        <n v="190848"/>
        <n v="9273"/>
        <n v="26854"/>
        <n v="11160"/>
        <n v="28748"/>
        <n v="157945"/>
        <n v="57264"/>
        <n v="239730"/>
        <n v="58116"/>
        <n v="97932"/>
        <n v="30606"/>
        <n v="128144"/>
        <n v="196185"/>
        <n v="45886"/>
        <n v="58560"/>
        <n v="64030"/>
        <n v="59520"/>
        <n v="131964"/>
        <n v="65922"/>
        <n v="108510"/>
        <n v="30600"/>
        <n v="36195"/>
        <n v="4082"/>
        <n v="36197"/>
        <n v="144630"/>
        <n v="146035"/>
        <n v="14256"/>
        <n v="96552"/>
        <n v="92192"/>
        <n v="70975"/>
        <n v="1161"/>
        <n v="19120"/>
        <n v="114270"/>
        <n v="146425"/>
        <n v="39024"/>
        <n v="65416"/>
        <n v="145252"/>
        <n v="88164"/>
        <n v="31529"/>
        <n v="244070"/>
        <n v="130145"/>
        <n v="105780"/>
        <n v="83727"/>
        <n v="88500"/>
        <n v="114612"/>
        <n v="130000"/>
        <n v="26570"/>
        <n v="31504"/>
        <n v="22134"/>
        <n v="67124"/>
        <n v="136212"/>
        <n v="84220"/>
        <n v="36765"/>
        <n v="55160"/>
        <n v="9836"/>
        <n v="5720"/>
        <n v="104442"/>
        <n v="98925"/>
        <n v="141630"/>
        <n v="27405"/>
        <n v="1338"/>
        <n v="23236"/>
        <n v="126205"/>
        <n v="82660"/>
        <n v="26513"/>
        <n v="78978"/>
        <n v="2722"/>
        <n v="196432"/>
        <n v="211105"/>
        <n v="229020"/>
        <n v="37918"/>
        <n v="45119"/>
        <n v="53499"/>
        <n v="6069"/>
        <n v="249840"/>
        <n v="35726"/>
        <n v="11972"/>
        <n v="97810"/>
        <n v="186800"/>
        <n v="35555"/>
        <n v="209260"/>
        <n v="37924"/>
        <n v="27730"/>
        <n v="4217"/>
        <n v="94990"/>
        <n v="49639"/>
        <n v="5670"/>
        <n v="5872"/>
        <n v="23988"/>
        <n v="139773"/>
        <n v="50103"/>
        <n v="134805"/>
        <n v="69792"/>
        <n v="71760"/>
        <n v="9555"/>
        <n v="146492"/>
        <n v="192810"/>
        <n v="167236"/>
        <n v="89944"/>
        <n v="66537"/>
        <n v="45100"/>
        <n v="56430"/>
        <n v="35632"/>
        <n v="16089"/>
        <n v="122340"/>
        <n v="19006"/>
        <n v="135378"/>
        <n v="27939"/>
        <n v="29252"/>
        <n v="70210"/>
        <n v="73185"/>
        <n v="36570"/>
        <n v="34215"/>
        <n v="15684"/>
        <n v="49557"/>
        <n v="96496"/>
        <n v="100947"/>
        <n v="86502"/>
        <n v="15896"/>
        <n v="145560"/>
        <n v="64420"/>
        <n v="88534"/>
        <n v="44442"/>
        <n v="143925"/>
        <n v="91356"/>
        <n v="55570"/>
        <n v="91450"/>
        <n v="116588"/>
        <n v="130128"/>
        <n v="63025"/>
        <n v="40880"/>
        <n v="44340"/>
        <n v="2093"/>
        <n v="63560"/>
        <n v="164456"/>
        <n v="78306"/>
        <n v="208970"/>
        <n v="69982"/>
        <n v="46466"/>
        <n v="208810"/>
        <n v="98432"/>
        <n v="152035"/>
        <n v="236315"/>
        <n v="209305"/>
        <n v="78260"/>
        <n v="42828"/>
        <n v="20816"/>
        <n v="48004"/>
        <n v="151825"/>
        <n v="45444"/>
        <n v="81358"/>
        <n v="22600"/>
        <n v="74094"/>
        <n v="142455"/>
        <n v="5092"/>
        <n v="147056"/>
        <n v="69226"/>
        <n v="83808"/>
        <n v="5894"/>
        <n v="99968"/>
        <n v="50520"/>
        <n v="107930"/>
        <n v="27695"/>
        <n v="42780"/>
        <n v="76652"/>
        <n v="18492"/>
        <n v="126996"/>
        <n v="79322"/>
        <n v="183964"/>
        <n v="178260"/>
        <n v="152540"/>
        <n v="3349"/>
        <n v="58720"/>
        <n v="72772"/>
        <n v="44961"/>
        <n v="162975"/>
        <n v="177210"/>
        <n v="197530"/>
        <n v="66188"/>
        <n v="130520"/>
        <n v="148852"/>
        <n v="1534"/>
        <n v="26642"/>
        <n v="28615"/>
        <n v="18587"/>
        <n v="45970"/>
        <n v="16628"/>
        <n v="53292"/>
        <n v="36930"/>
        <n v="35053"/>
        <n v="39410"/>
        <n v="138519"/>
        <n v="51315"/>
        <n v="135025"/>
        <n v="32235"/>
        <n v="12474"/>
        <n v="120025"/>
        <n v="87921"/>
        <n v="31834"/>
        <n v="63111"/>
        <n v="187112"/>
        <n v="22122"/>
        <n v="68724"/>
        <n v="28506"/>
        <n v="91088"/>
        <n v="43642"/>
        <n v="31026"/>
        <n v="245850"/>
        <n v="134132"/>
        <n v="87150"/>
        <n v="32494"/>
        <n v="24556"/>
        <n v="5801"/>
        <n v="47903"/>
        <n v="16385"/>
        <n v="39042"/>
        <n v="16620"/>
        <n v="145767"/>
        <n v="47585"/>
        <n v="60445"/>
        <n v="110874"/>
        <n v="25196"/>
        <n v="6669"/>
        <n v="43662"/>
        <n v="54824"/>
        <n v="94622"/>
        <n v="154408"/>
        <n v="28224"/>
        <n v="6748"/>
        <n v="7152"/>
        <n v="102513"/>
        <n v="222895"/>
        <n v="5742"/>
        <n v="16508"/>
        <n v="69240"/>
        <n v="26109"/>
        <n v="86588"/>
        <n v="8730"/>
        <n v="49842"/>
        <n v="4584"/>
        <n v="100830"/>
        <n v="188864"/>
        <n v="42806"/>
        <n v="43678"/>
        <n v="98816"/>
        <n v="143385"/>
        <n v="8375"/>
        <n v="83652"/>
        <n v="89547"/>
        <n v="48327"/>
        <n v="91827"/>
        <n v="14184"/>
        <n v="2110"/>
        <n v="112251"/>
        <n v="41718"/>
        <n v="24255"/>
        <n v="213475"/>
        <n v="14382"/>
        <n v="17961"/>
        <n v="37522"/>
        <n v="75740"/>
        <n v="1504"/>
        <n v="31143"/>
        <n v="4338"/>
        <n v="141798"/>
        <n v="19616"/>
        <n v="105741"/>
        <n v="28112"/>
        <n v="53550"/>
        <n v="44690"/>
        <n v="31426"/>
        <n v="30560"/>
        <n v="71295"/>
        <n v="26834"/>
        <n v="39101"/>
        <n v="27870"/>
        <n v="23378"/>
        <n v="90944"/>
        <n v="6902"/>
        <n v="54784"/>
        <n v="25437"/>
        <n v="39492"/>
        <n v="80246"/>
        <n v="30362"/>
        <n v="137704"/>
        <n v="143832"/>
      </sharedItems>
    </cacheField>
    <cacheField name="Order Date" numFmtId="14">
      <sharedItems containsSemiMixedTypes="0" containsNonDate="0" containsDate="1" containsString="0" minDate="2026-01-01T00:00:00" maxDate="2026-06-21T00:00:00" count="165">
        <d v="2026-01-02T00:00:00"/>
        <d v="2026-05-01T00:00:00"/>
        <d v="2026-01-17T00:00:00"/>
        <d v="2026-01-25T00:00:00"/>
        <d v="2026-05-06T00:00:00"/>
        <d v="2026-01-13T00:00:00"/>
        <d v="2026-01-18T00:00:00"/>
        <d v="2026-03-29T00:00:00"/>
        <d v="2026-02-16T00:00:00"/>
        <d v="2026-04-09T00:00:00"/>
        <d v="2026-05-24T00:00:00"/>
        <d v="2026-03-30T00:00:00"/>
        <d v="2026-03-21T00:00:00"/>
        <d v="2026-03-13T00:00:00"/>
        <d v="2026-02-23T00:00:00"/>
        <d v="2026-04-08T00:00:00"/>
        <d v="2026-02-04T00:00:00"/>
        <d v="2026-05-21T00:00:00"/>
        <d v="2026-04-29T00:00:00"/>
        <d v="2026-06-07T00:00:00"/>
        <d v="2026-01-15T00:00:00"/>
        <d v="2026-04-04T00:00:00"/>
        <d v="2026-04-05T00:00:00"/>
        <d v="2026-01-09T00:00:00"/>
        <d v="2026-05-19T00:00:00"/>
        <d v="2026-06-18T00:00:00"/>
        <d v="2026-01-24T00:00:00"/>
        <d v="2026-02-26T00:00:00"/>
        <d v="2026-03-19T00:00:00"/>
        <d v="2026-01-16T00:00:00"/>
        <d v="2026-03-06T00:00:00"/>
        <d v="2026-03-18T00:00:00"/>
        <d v="2026-01-04T00:00:00"/>
        <d v="2026-06-15T00:00:00"/>
        <d v="2026-01-08T00:00:00"/>
        <d v="2026-02-02T00:00:00"/>
        <d v="2026-01-28T00:00:00"/>
        <d v="2026-05-07T00:00:00"/>
        <d v="2026-01-06T00:00:00"/>
        <d v="2026-04-16T00:00:00"/>
        <d v="2026-03-26T00:00:00"/>
        <d v="2026-03-03T00:00:00"/>
        <d v="2026-01-14T00:00:00"/>
        <d v="2026-04-30T00:00:00"/>
        <d v="2026-05-23T00:00:00"/>
        <d v="2026-01-10T00:00:00"/>
        <d v="2026-06-03T00:00:00"/>
        <d v="2026-04-24T00:00:00"/>
        <d v="2026-04-27T00:00:00"/>
        <d v="2026-03-24T00:00:00"/>
        <d v="2026-04-10T00:00:00"/>
        <d v="2026-05-04T00:00:00"/>
        <d v="2026-05-09T00:00:00"/>
        <d v="2026-06-06T00:00:00"/>
        <d v="2026-05-03T00:00:00"/>
        <d v="2026-04-23T00:00:00"/>
        <d v="2026-03-08T00:00:00"/>
        <d v="2026-02-08T00:00:00"/>
        <d v="2026-04-28T00:00:00"/>
        <d v="2026-06-13T00:00:00"/>
        <d v="2026-05-28T00:00:00"/>
        <d v="2026-03-14T00:00:00"/>
        <d v="2026-01-20T00:00:00"/>
        <d v="2026-04-03T00:00:00"/>
        <d v="2026-03-16T00:00:00"/>
        <d v="2026-01-23T00:00:00"/>
        <d v="2026-02-20T00:00:00"/>
        <d v="2026-06-20T00:00:00"/>
        <d v="2026-05-22T00:00:00"/>
        <d v="2026-04-26T00:00:00"/>
        <d v="2026-02-21T00:00:00"/>
        <d v="2026-03-22T00:00:00"/>
        <d v="2026-05-15T00:00:00"/>
        <d v="2026-03-17T00:00:00"/>
        <d v="2026-02-11T00:00:00"/>
        <d v="2026-06-12T00:00:00"/>
        <d v="2026-03-09T00:00:00"/>
        <d v="2026-06-17T00:00:00"/>
        <d v="2026-01-11T00:00:00"/>
        <d v="2026-04-22T00:00:00"/>
        <d v="2026-06-02T00:00:00"/>
        <d v="2026-03-11T00:00:00"/>
        <d v="2026-04-15T00:00:00"/>
        <d v="2026-05-14T00:00:00"/>
        <d v="2026-04-12T00:00:00"/>
        <d v="2026-05-27T00:00:00"/>
        <d v="2026-06-16T00:00:00"/>
        <d v="2026-02-24T00:00:00"/>
        <d v="2026-04-14T00:00:00"/>
        <d v="2026-03-05T00:00:00"/>
        <d v="2026-05-26T00:00:00"/>
        <d v="2026-06-05T00:00:00"/>
        <d v="2026-01-22T00:00:00"/>
        <d v="2026-04-01T00:00:00"/>
        <d v="2026-03-15T00:00:00"/>
        <d v="2026-01-05T00:00:00"/>
        <d v="2026-04-11T00:00:00"/>
        <d v="2026-01-26T00:00:00"/>
        <d v="2026-02-19T00:00:00"/>
        <d v="2026-03-04T00:00:00"/>
        <d v="2026-05-13T00:00:00"/>
        <d v="2026-01-01T00:00:00"/>
        <d v="2026-05-02T00:00:00"/>
        <d v="2026-01-30T00:00:00"/>
        <d v="2026-02-09T00:00:00"/>
        <d v="2026-01-03T00:00:00"/>
        <d v="2026-06-14T00:00:00"/>
        <d v="2026-02-07T00:00:00"/>
        <d v="2026-02-01T00:00:00"/>
        <d v="2026-03-31T00:00:00"/>
        <d v="2026-02-14T00:00:00"/>
        <d v="2026-02-27T00:00:00"/>
        <d v="2026-04-13T00:00:00"/>
        <d v="2026-03-07T00:00:00"/>
        <d v="2026-02-17T00:00:00"/>
        <d v="2026-06-10T00:00:00"/>
        <d v="2026-02-15T00:00:00"/>
        <d v="2026-05-29T00:00:00"/>
        <d v="2026-03-01T00:00:00"/>
        <d v="2026-03-25T00:00:00"/>
        <d v="2026-02-13T00:00:00"/>
        <d v="2026-03-28T00:00:00"/>
        <d v="2026-04-20T00:00:00"/>
        <d v="2026-05-11T00:00:00"/>
        <d v="2026-02-12T00:00:00"/>
        <d v="2026-01-29T00:00:00"/>
        <d v="2026-02-10T00:00:00"/>
        <d v="2026-02-25T00:00:00"/>
        <d v="2026-03-02T00:00:00"/>
        <d v="2026-01-12T00:00:00"/>
        <d v="2026-06-09T00:00:00"/>
        <d v="2026-03-12T00:00:00"/>
        <d v="2026-04-06T00:00:00"/>
        <d v="2026-05-30T00:00:00"/>
        <d v="2026-05-17T00:00:00"/>
        <d v="2026-01-21T00:00:00"/>
        <d v="2026-05-16T00:00:00"/>
        <d v="2026-03-23T00:00:00"/>
        <d v="2026-04-25T00:00:00"/>
        <d v="2026-05-05T00:00:00"/>
        <d v="2026-05-10T00:00:00"/>
        <d v="2026-02-06T00:00:00"/>
        <d v="2026-06-08T00:00:00"/>
        <d v="2026-04-18T00:00:00"/>
        <d v="2026-03-27T00:00:00"/>
        <d v="2026-01-19T00:00:00"/>
        <d v="2026-01-07T00:00:00"/>
        <d v="2026-04-19T00:00:00"/>
        <d v="2026-02-28T00:00:00"/>
        <d v="2026-06-19T00:00:00"/>
        <d v="2026-05-12T00:00:00"/>
        <d v="2026-05-08T00:00:00"/>
        <d v="2026-03-20T00:00:00"/>
        <d v="2026-05-31T00:00:00"/>
        <d v="2026-01-31T00:00:00"/>
        <d v="2026-03-10T00:00:00"/>
        <d v="2026-02-05T00:00:00"/>
        <d v="2026-02-03T00:00:00"/>
        <d v="2026-06-04T00:00:00"/>
        <d v="2026-06-11T00:00:00"/>
        <d v="2026-05-25T00:00:00"/>
        <d v="2026-04-02T00:00:00"/>
        <d v="2026-04-17T00:00:00"/>
        <d v="2026-04-07T00:00:00"/>
        <d v="2026-01-27T00:00:00"/>
      </sharedItems>
      <fieldGroup par="12"/>
    </cacheField>
    <cacheField name="City" numFmtId="0">
      <sharedItems count="7">
        <s v="Bangalore"/>
        <s v="Delhi"/>
        <s v="Chennai"/>
        <s v="Hyderabad"/>
        <s v="Kolkata"/>
        <s v="Mumbai"/>
        <s v="Pune"/>
      </sharedItems>
    </cacheField>
    <cacheField name="Payment Mode" numFmtId="0">
      <sharedItems/>
    </cacheField>
    <cacheField name="Rating" numFmtId="0">
      <sharedItems containsSemiMixedTypes="0" containsString="0" containsNumber="1" minValue="3" maxValue="5"/>
    </cacheField>
    <cacheField name="Days (Order Date)" numFmtId="0" databaseField="0">
      <fieldGroup base="7">
        <rangePr groupBy="days" startDate="2026-01-01T00:00:00" endDate="2026-06-21T00:00:00"/>
        <groupItems count="368">
          <s v="&lt;01-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1-06-2026"/>
        </groupItems>
      </fieldGroup>
    </cacheField>
    <cacheField name="Months (Order Date)" numFmtId="0" databaseField="0">
      <fieldGroup base="7">
        <rangePr groupBy="months" startDate="2026-01-01T00:00:00" endDate="2026-06-21T00:00:00"/>
        <groupItems count="14">
          <s v="&lt;01-01-2026"/>
          <s v="Jan"/>
          <s v="Feb"/>
          <s v="Mar"/>
          <s v="Apr"/>
          <s v="May"/>
          <s v="Jun"/>
          <s v="Jul"/>
          <s v="Aug"/>
          <s v="Sep"/>
          <s v="Oct"/>
          <s v="Nov"/>
          <s v="Dec"/>
          <s v="&gt;21-06-2026"/>
        </groupItems>
      </fieldGroup>
    </cacheField>
  </cacheFields>
  <extLst>
    <ext xmlns:x14="http://schemas.microsoft.com/office/spreadsheetml/2009/9/main" uri="{725AE2AE-9491-48be-B2B4-4EB974FC3084}">
      <x14:pivotCacheDefinition pivotCacheId="2541369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ooja Ganesh" refreshedDate="46197.722771875" createdVersion="8" refreshedVersion="8" minRefreshableVersion="3" recordCount="13" xr:uid="{EDD30B9D-028A-4638-8848-7783D4F958CE}">
  <cacheSource type="worksheet">
    <worksheetSource ref="A2:C15" sheet="Sheet10" r:id="rId2"/>
  </cacheSource>
  <cacheFields count="3">
    <cacheField name="Product" numFmtId="0">
      <sharedItems count="13">
        <s v="Bag"/>
        <s v="Book"/>
        <s v="Chair"/>
        <s v="Headphones"/>
        <s v="Keyboard"/>
        <s v="Laptop"/>
        <s v="Mixer"/>
        <s v="Mobile"/>
        <s v="Shoes"/>
        <s v="Tablet"/>
        <s v="T-Shirt"/>
        <s v="Watch"/>
        <s v="total"/>
      </sharedItems>
    </cacheField>
    <cacheField name="Sum Of Product" numFmtId="0">
      <sharedItems containsSemiMixedTypes="0" containsString="0" containsNumber="1" containsInteger="1" minValue="2064608" maxValue="38574405" count="13">
        <n v="2064608"/>
        <n v="3218358"/>
        <n v="2105733"/>
        <n v="3711749"/>
        <n v="2773395"/>
        <n v="3695395"/>
        <n v="3567955"/>
        <n v="4702760"/>
        <n v="3375138"/>
        <n v="3167931"/>
        <n v="3696239"/>
        <n v="2495144"/>
        <n v="38574405"/>
      </sharedItems>
    </cacheField>
    <cacheField name="% Contribution" numFmtId="10">
      <sharedItems containsSemiMixedTypes="0" containsString="0" containsNumber="1" minValue="5.352274390233628E-2" maxValue="1" count="13">
        <n v="5.352274390233628E-2"/>
        <n v="8.3432472905285257E-2"/>
        <n v="5.4588865337002607E-2"/>
        <n v="9.622310441340573E-2"/>
        <n v="7.1897285259487478E-2"/>
        <n v="9.5799144536383649E-2"/>
        <n v="9.2495399475377521E-2"/>
        <n v="0.12191399971042975"/>
        <n v="8.7496825939376119E-2"/>
        <n v="8.2125207115961996E-2"/>
        <n v="9.5821024329474425E-2"/>
        <n v="6.4683927075479195E-2"/>
        <n v="1"/>
      </sharedItems>
    </cacheField>
  </cacheFields>
  <extLst>
    <ext xmlns:x14="http://schemas.microsoft.com/office/spreadsheetml/2009/9/main" uri="{725AE2AE-9491-48be-B2B4-4EB974FC3084}">
      <x14:pivotCacheDefinition pivotCacheId="2099456506"/>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ooja Ganesh" refreshedDate="46197.74581064815" createdVersion="8" refreshedVersion="8" minRefreshableVersion="3" recordCount="500" xr:uid="{A68682AA-5BDD-469B-A6AA-BB566373FD0B}">
  <cacheSource type="worksheet">
    <worksheetSource ref="A1:D501" sheet="4 Pivot Reference"/>
  </cacheSource>
  <cacheFields count="4">
    <cacheField name="#NAME?" numFmtId="0">
      <sharedItems count="12">
        <s v="Keyboard"/>
        <s v="Bag"/>
        <s v="Shoes"/>
        <s v="Mobile"/>
        <s v="Watch"/>
        <s v="Headphones"/>
        <s v="T-Shirt"/>
        <s v="Book"/>
        <s v="Tablet"/>
        <s v="Laptop"/>
        <s v="Mixer"/>
        <s v="Chair"/>
      </sharedItems>
    </cacheField>
    <cacheField name="Month" numFmtId="0">
      <sharedItems count="6">
        <s v="January"/>
        <s v="May"/>
        <s v="March"/>
        <s v="February"/>
        <s v="April"/>
        <s v="June"/>
      </sharedItems>
    </cacheField>
    <cacheField name="Quantity" numFmtId="0">
      <sharedItems containsSemiMixedTypes="0" containsString="0" containsNumber="1" containsInteger="1" minValue="1" maxValue="5"/>
    </cacheField>
    <cacheField name="Price" numFmtId="0">
      <sharedItems containsSemiMixedTypes="0" containsString="0" containsNumber="1" containsInteger="1" minValue="309" maxValue="49984" count="497">
        <n v="37967"/>
        <n v="11247"/>
        <n v="16393"/>
        <n v="45821"/>
        <n v="22075"/>
        <n v="42377"/>
        <n v="21701"/>
        <n v="46987"/>
        <n v="30497"/>
        <n v="47360"/>
        <n v="44317"/>
        <n v="35810"/>
        <n v="48794"/>
        <n v="30177"/>
        <n v="9100"/>
        <n v="20457"/>
        <n v="20772"/>
        <n v="24756"/>
        <n v="43683"/>
        <n v="11207"/>
        <n v="8723"/>
        <n v="14367"/>
        <n v="35805"/>
        <n v="39399"/>
        <n v="14586"/>
        <n v="6968"/>
        <n v="46523"/>
        <n v="46272"/>
        <n v="25538"/>
        <n v="13923"/>
        <n v="45484"/>
        <n v="37574"/>
        <n v="10351"/>
        <n v="555"/>
        <n v="37257"/>
        <n v="17907"/>
        <n v="10369"/>
        <n v="309"/>
        <n v="6167"/>
        <n v="8344"/>
        <n v="19996"/>
        <n v="4486"/>
        <n v="19193"/>
        <n v="33480"/>
        <n v="19700"/>
        <n v="23862"/>
        <n v="15755"/>
        <n v="11393"/>
        <n v="24310"/>
        <n v="27576"/>
        <n v="32482"/>
        <n v="29579"/>
        <n v="14304"/>
        <n v="24084"/>
        <n v="15006"/>
        <n v="14464"/>
        <n v="9542"/>
        <n v="31312"/>
        <n v="33598"/>
        <n v="31551"/>
        <n v="18514"/>
        <n v="18315"/>
        <n v="16870"/>
        <n v="32194"/>
        <n v="14896"/>
        <n v="38925"/>
        <n v="34963"/>
        <n v="22367"/>
        <n v="21314"/>
        <n v="36276"/>
        <n v="32923"/>
        <n v="11944"/>
        <n v="32183"/>
        <n v="48487"/>
        <n v="36031"/>
        <n v="34071"/>
        <n v="9944"/>
        <n v="18459"/>
        <n v="23844"/>
        <n v="40471"/>
        <n v="46209"/>
        <n v="35696"/>
        <n v="3461"/>
        <n v="46388"/>
        <n v="33565"/>
        <n v="28257"/>
        <n v="46335"/>
        <n v="33267"/>
        <n v="29290"/>
        <n v="47354"/>
        <n v="26480"/>
        <n v="17191"/>
        <n v="47185"/>
        <n v="11172"/>
        <n v="2243"/>
        <n v="43083"/>
        <n v="34390"/>
        <n v="15607"/>
        <n v="43731"/>
        <n v="40517"/>
        <n v="35108"/>
        <n v="23237"/>
        <n v="16211"/>
        <n v="28117"/>
        <n v="42459"/>
        <n v="39282"/>
        <n v="29569"/>
        <n v="48814"/>
        <n v="40787"/>
        <n v="46257"/>
        <n v="36881"/>
        <n v="43634"/>
        <n v="45054"/>
        <n v="45609"/>
        <n v="18322"/>
        <n v="36240"/>
        <n v="43933"/>
        <n v="19691"/>
        <n v="49645"/>
        <n v="3412"/>
        <n v="38909"/>
        <n v="43951"/>
        <n v="31306"/>
        <n v="27497"/>
        <n v="6932"/>
        <n v="8703"/>
        <n v="11062"/>
        <n v="22139"/>
        <n v="33490"/>
        <n v="17751"/>
        <n v="25309"/>
        <n v="35889"/>
        <n v="1518"/>
        <n v="6705"/>
        <n v="32012"/>
        <n v="42348"/>
        <n v="11626"/>
        <n v="47452"/>
        <n v="27899"/>
        <n v="4810"/>
        <n v="35459"/>
        <n v="24947"/>
        <n v="12790"/>
        <n v="32850"/>
        <n v="45465"/>
        <n v="3693"/>
        <n v="25476"/>
        <n v="26710"/>
        <n v="10366"/>
        <n v="12842"/>
        <n v="28267"/>
        <n v="37424"/>
        <n v="30382"/>
        <n v="11357"/>
        <n v="44894"/>
        <n v="23378"/>
        <n v="21470"/>
        <n v="38690"/>
        <n v="35794"/>
        <n v="2214"/>
        <n v="11817"/>
        <n v="5848"/>
        <n v="44117"/>
        <n v="6367"/>
        <n v="41666"/>
        <n v="29899"/>
        <n v="2785"/>
        <n v="42113"/>
        <n v="1740"/>
        <n v="41097"/>
        <n v="3170"/>
        <n v="48764"/>
        <n v="39735"/>
        <n v="16399"/>
        <n v="37990"/>
        <n v="20917"/>
        <n v="18775"/>
        <n v="38072"/>
        <n v="16837"/>
        <n v="29355"/>
        <n v="45235"/>
        <n v="42111"/>
        <n v="18362"/>
        <n v="44807"/>
        <n v="659"/>
        <n v="31761"/>
        <n v="41256"/>
        <n v="2812"/>
        <n v="46395"/>
        <n v="7078"/>
        <n v="46323"/>
        <n v="48456"/>
        <n v="49234"/>
        <n v="22866"/>
        <n v="37798"/>
        <n v="40801"/>
        <n v="9208"/>
        <n v="5542"/>
        <n v="36432"/>
        <n v="28598"/>
        <n v="2255"/>
        <n v="17685"/>
        <n v="25206"/>
        <n v="44776"/>
        <n v="39868"/>
        <n v="21267"/>
        <n v="31059"/>
        <n v="44334"/>
        <n v="7138"/>
        <n v="30628"/>
        <n v="33080"/>
        <n v="14437"/>
        <n v="41937"/>
        <n v="47712"/>
        <n v="9273"/>
        <n v="13427"/>
        <n v="2790"/>
        <n v="28748"/>
        <n v="31589"/>
        <n v="19088"/>
        <n v="47946"/>
        <n v="29058"/>
        <n v="32644"/>
        <n v="10202"/>
        <n v="32036"/>
        <n v="39237"/>
        <n v="45886"/>
        <n v="19520"/>
        <n v="12806"/>
        <n v="14880"/>
        <n v="43988"/>
        <n v="32961"/>
        <n v="36170"/>
        <n v="30600"/>
        <n v="12065"/>
        <n v="2041"/>
        <n v="36197"/>
        <n v="48210"/>
        <n v="29207"/>
        <n v="7128"/>
        <n v="48276"/>
        <n v="46096"/>
        <n v="14195"/>
        <n v="387"/>
        <n v="9560"/>
        <n v="38090"/>
        <n v="29285"/>
        <n v="13008"/>
        <n v="16354"/>
        <n v="36313"/>
        <n v="29388"/>
        <n v="31529"/>
        <n v="26029"/>
        <n v="21156"/>
        <n v="27909"/>
        <n v="17700"/>
        <n v="38204"/>
        <n v="26000"/>
        <n v="13285"/>
        <n v="31504"/>
        <n v="22134"/>
        <n v="33562"/>
        <n v="34053"/>
        <n v="21055"/>
        <n v="36765"/>
        <n v="27580"/>
        <n v="2459"/>
        <n v="5720"/>
        <n v="34814"/>
        <n v="32975"/>
        <n v="28326"/>
        <n v="9135"/>
        <n v="669"/>
        <n v="11618"/>
        <n v="25241"/>
        <n v="16532"/>
        <n v="26513"/>
        <n v="26326"/>
        <n v="1361"/>
        <n v="49108"/>
        <n v="42221"/>
        <n v="45804"/>
        <n v="37918"/>
        <n v="45119"/>
        <n v="17833"/>
        <n v="2023"/>
        <n v="49968"/>
        <n v="17863"/>
        <n v="5986"/>
        <n v="19562"/>
        <n v="46700"/>
        <n v="7111"/>
        <n v="41852"/>
        <n v="37924"/>
        <n v="5546"/>
        <n v="4217"/>
        <n v="18998"/>
        <n v="49639"/>
        <n v="1890"/>
        <n v="5872"/>
        <n v="7996"/>
        <n v="46591"/>
        <n v="16701"/>
        <n v="26961"/>
        <n v="17448"/>
        <n v="14352"/>
        <n v="9555"/>
        <n v="36623"/>
        <n v="38562"/>
        <n v="41809"/>
        <n v="22486"/>
        <n v="22179"/>
        <n v="11275"/>
        <n v="18810"/>
        <n v="17816"/>
        <n v="16089"/>
        <n v="40780"/>
        <n v="19006"/>
        <n v="45126"/>
        <n v="9313"/>
        <n v="7313"/>
        <n v="14042"/>
        <n v="24395"/>
        <n v="36570"/>
        <n v="6843"/>
        <n v="5228"/>
        <n v="49557"/>
        <n v="24124"/>
        <n v="33649"/>
        <n v="28834"/>
        <n v="7948"/>
        <n v="36390"/>
        <n v="12884"/>
        <n v="44267"/>
        <n v="44442"/>
        <n v="28785"/>
        <n v="45678"/>
        <n v="11114"/>
        <n v="45725"/>
        <n v="29147"/>
        <n v="43376"/>
        <n v="12605"/>
        <n v="8176"/>
        <n v="14780"/>
        <n v="2093"/>
        <n v="15890"/>
        <n v="41114"/>
        <n v="26102"/>
        <n v="41794"/>
        <n v="34991"/>
        <n v="23233"/>
        <n v="41762"/>
        <n v="24608"/>
        <n v="30407"/>
        <n v="47263"/>
        <n v="41861"/>
        <n v="15652"/>
        <n v="10707"/>
        <n v="5204"/>
        <n v="12001"/>
        <n v="30365"/>
        <n v="11361"/>
        <n v="40679"/>
        <n v="22600"/>
        <n v="37047"/>
        <n v="47485"/>
        <n v="5092"/>
        <n v="36764"/>
        <n v="34613"/>
        <n v="27936"/>
        <n v="2947"/>
        <n v="49984"/>
        <n v="25260"/>
        <n v="21586"/>
        <n v="5539"/>
        <n v="21390"/>
        <n v="19163"/>
        <n v="4623"/>
        <n v="42332"/>
        <n v="39661"/>
        <n v="45991"/>
        <n v="44565"/>
        <n v="38135"/>
        <n v="3349"/>
        <n v="14680"/>
        <n v="36386"/>
        <n v="14987"/>
        <n v="32595"/>
        <n v="35442"/>
        <n v="39506"/>
        <n v="33094"/>
        <n v="26104"/>
        <n v="37213"/>
        <n v="1534"/>
        <n v="13321"/>
        <n v="5723"/>
        <n v="18587"/>
        <n v="22985"/>
        <n v="16628"/>
        <n v="17764"/>
        <n v="7386"/>
        <n v="35053"/>
        <n v="7882"/>
        <n v="46173"/>
        <n v="17105"/>
        <n v="27005"/>
        <n v="10745"/>
        <n v="6237"/>
        <n v="24005"/>
        <n v="29307"/>
        <n v="15917"/>
        <n v="21037"/>
        <n v="46778"/>
        <n v="22122"/>
        <n v="22908"/>
        <n v="28506"/>
        <n v="45544"/>
        <n v="21821"/>
        <n v="10342"/>
        <n v="49170"/>
        <n v="33533"/>
        <n v="43575"/>
        <n v="32494"/>
        <n v="6139"/>
        <n v="5801"/>
        <n v="47903"/>
        <n v="16385"/>
        <n v="19521"/>
        <n v="5540"/>
        <n v="48589"/>
        <n v="9517"/>
        <n v="12089"/>
        <n v="36958"/>
        <n v="6299"/>
        <n v="6669"/>
        <n v="14554"/>
        <n v="27412"/>
        <n v="47311"/>
        <n v="38602"/>
        <n v="28224"/>
        <n v="6748"/>
        <n v="1788"/>
        <n v="34171"/>
        <n v="44579"/>
        <n v="2871"/>
        <n v="4127"/>
        <n v="23080"/>
        <n v="26109"/>
        <n v="43294"/>
        <n v="4365"/>
        <n v="24921"/>
        <n v="4584"/>
        <n v="20166"/>
        <n v="47216"/>
        <n v="21403"/>
        <n v="21839"/>
        <n v="24704"/>
        <n v="47795"/>
        <n v="1675"/>
        <n v="20913"/>
        <n v="29849"/>
        <n v="48327"/>
        <n v="30609"/>
        <n v="14184"/>
        <n v="2110"/>
        <n v="37417"/>
        <n v="13906"/>
        <n v="8085"/>
        <n v="42695"/>
        <n v="4794"/>
        <n v="17961"/>
        <n v="18761"/>
        <n v="37870"/>
        <n v="752"/>
        <n v="31143"/>
        <n v="4338"/>
        <n v="47266"/>
        <n v="19616"/>
        <n v="35247"/>
        <n v="14056"/>
        <n v="10710"/>
        <n v="22345"/>
        <n v="15713"/>
        <n v="30560"/>
        <n v="14259"/>
        <n v="13417"/>
        <n v="39101"/>
        <n v="5574"/>
        <n v="45472"/>
        <n v="6902"/>
        <n v="13696"/>
        <n v="8479"/>
        <n v="39492"/>
        <n v="40123"/>
        <n v="15181"/>
        <n v="34426"/>
        <n v="35958"/>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C0001"/>
    <s v="Suresh Reddy"/>
    <s v="Keyboard"/>
    <x v="0"/>
    <n v="1"/>
    <n v="37967"/>
    <x v="0"/>
    <x v="0"/>
    <x v="0"/>
    <s v="UPI"/>
    <n v="4.0999999999999996"/>
  </r>
  <r>
    <s v="C0002"/>
    <s v="Kiran Kumar"/>
    <s v="Keyboard"/>
    <x v="0"/>
    <n v="5"/>
    <n v="11247"/>
    <x v="1"/>
    <x v="1"/>
    <x v="0"/>
    <s v="Cash on Delivery"/>
    <n v="3.2"/>
  </r>
  <r>
    <s v="C0003"/>
    <s v="Vikram Kumar"/>
    <s v="Bag"/>
    <x v="1"/>
    <n v="5"/>
    <n v="16393"/>
    <x v="2"/>
    <x v="2"/>
    <x v="0"/>
    <s v="Cash on Delivery"/>
    <n v="4.2"/>
  </r>
  <r>
    <s v="C0004"/>
    <s v="Pooja Kumar"/>
    <s v="Shoes"/>
    <x v="2"/>
    <n v="3"/>
    <n v="45821"/>
    <x v="3"/>
    <x v="3"/>
    <x v="1"/>
    <s v="Cash on Delivery"/>
    <n v="3.2"/>
  </r>
  <r>
    <s v="C0005"/>
    <s v="Arjun Kumar"/>
    <s v="Mobile"/>
    <x v="0"/>
    <n v="4"/>
    <n v="22075"/>
    <x v="4"/>
    <x v="4"/>
    <x v="0"/>
    <s v="Cash on Delivery"/>
    <n v="4.5"/>
  </r>
  <r>
    <s v="C0006"/>
    <s v="Lakshmi Singh"/>
    <s v="Mobile"/>
    <x v="0"/>
    <n v="5"/>
    <n v="42377"/>
    <x v="5"/>
    <x v="5"/>
    <x v="2"/>
    <s v="Debit Card"/>
    <n v="3"/>
  </r>
  <r>
    <s v="C0007"/>
    <s v="Sneha Singh"/>
    <s v="Watch"/>
    <x v="1"/>
    <n v="1"/>
    <n v="21701"/>
    <x v="6"/>
    <x v="6"/>
    <x v="1"/>
    <s v="Credit Card"/>
    <n v="4.5999999999999996"/>
  </r>
  <r>
    <s v="C0008"/>
    <s v="Neha Sharma"/>
    <s v="Headphones"/>
    <x v="0"/>
    <n v="2"/>
    <n v="46987"/>
    <x v="7"/>
    <x v="7"/>
    <x v="3"/>
    <s v="UPI"/>
    <n v="4.3"/>
  </r>
  <r>
    <s v="C0009"/>
    <s v="Pooja Singh"/>
    <s v="Keyboard"/>
    <x v="0"/>
    <n v="5"/>
    <n v="30497"/>
    <x v="8"/>
    <x v="8"/>
    <x v="4"/>
    <s v="Cash on Delivery"/>
    <n v="3.1"/>
  </r>
  <r>
    <s v="C0010"/>
    <s v="Divya Kumar"/>
    <s v="T-Shirt"/>
    <x v="2"/>
    <n v="1"/>
    <n v="47360"/>
    <x v="9"/>
    <x v="9"/>
    <x v="1"/>
    <s v="Credit Card"/>
    <n v="4.5999999999999996"/>
  </r>
  <r>
    <s v="C0011"/>
    <s v="Riya Singh"/>
    <s v="Book"/>
    <x v="3"/>
    <n v="4"/>
    <n v="44317"/>
    <x v="10"/>
    <x v="10"/>
    <x v="4"/>
    <s v="UPI"/>
    <n v="3.7"/>
  </r>
  <r>
    <s v="C0012"/>
    <s v="Sneha Reddy"/>
    <s v="Tablet"/>
    <x v="0"/>
    <n v="3"/>
    <n v="35810"/>
    <x v="11"/>
    <x v="11"/>
    <x v="4"/>
    <s v="Credit Card"/>
    <n v="3.1"/>
  </r>
  <r>
    <s v="C0013"/>
    <s v="Aisha Patel"/>
    <s v="Bag"/>
    <x v="1"/>
    <n v="1"/>
    <n v="48794"/>
    <x v="12"/>
    <x v="6"/>
    <x v="0"/>
    <s v="Cash on Delivery"/>
    <n v="4.8"/>
  </r>
  <r>
    <s v="C0014"/>
    <s v="Lakshmi Kumar"/>
    <s v="Mobile"/>
    <x v="0"/>
    <n v="4"/>
    <n v="30177"/>
    <x v="13"/>
    <x v="12"/>
    <x v="5"/>
    <s v="Net Banking"/>
    <n v="3.5"/>
  </r>
  <r>
    <s v="C0015"/>
    <s v="Pooja Sharma"/>
    <s v="Mobile"/>
    <x v="0"/>
    <n v="4"/>
    <n v="9100"/>
    <x v="14"/>
    <x v="13"/>
    <x v="5"/>
    <s v="Credit Card"/>
    <n v="4.5"/>
  </r>
  <r>
    <s v="C0016"/>
    <s v="Pooja Reddy"/>
    <s v="Mobile"/>
    <x v="0"/>
    <n v="1"/>
    <n v="20457"/>
    <x v="15"/>
    <x v="14"/>
    <x v="3"/>
    <s v="Debit Card"/>
    <n v="4"/>
  </r>
  <r>
    <s v="C0017"/>
    <s v="Divya Sharma"/>
    <s v="Keyboard"/>
    <x v="0"/>
    <n v="4"/>
    <n v="20772"/>
    <x v="16"/>
    <x v="15"/>
    <x v="1"/>
    <s v="Cash on Delivery"/>
    <n v="4.8"/>
  </r>
  <r>
    <s v="C0018"/>
    <s v="Ananya Singh"/>
    <s v="Laptop"/>
    <x v="0"/>
    <n v="1"/>
    <n v="24756"/>
    <x v="17"/>
    <x v="16"/>
    <x v="6"/>
    <s v="Cash on Delivery"/>
    <n v="4"/>
  </r>
  <r>
    <s v="C0019"/>
    <s v="Lakshmi Sharma"/>
    <s v="T-Shirt"/>
    <x v="2"/>
    <n v="4"/>
    <n v="43683"/>
    <x v="18"/>
    <x v="17"/>
    <x v="2"/>
    <s v="Credit Card"/>
    <n v="4.2"/>
  </r>
  <r>
    <s v="C0020"/>
    <s v="Priya Sharma"/>
    <s v="Mixer"/>
    <x v="4"/>
    <n v="2"/>
    <n v="11207"/>
    <x v="19"/>
    <x v="18"/>
    <x v="0"/>
    <s v="Debit Card"/>
    <n v="3.4"/>
  </r>
  <r>
    <s v="C0021"/>
    <s v="Kiran Singh"/>
    <s v="Laptop"/>
    <x v="0"/>
    <n v="5"/>
    <n v="8723"/>
    <x v="20"/>
    <x v="15"/>
    <x v="4"/>
    <s v="Net Banking"/>
    <n v="4"/>
  </r>
  <r>
    <s v="C0022"/>
    <s v="Kavya Reddy"/>
    <s v="Mixer"/>
    <x v="4"/>
    <n v="4"/>
    <n v="14367"/>
    <x v="21"/>
    <x v="19"/>
    <x v="4"/>
    <s v="Debit Card"/>
    <n v="3.5"/>
  </r>
  <r>
    <s v="C0023"/>
    <s v="Diya Patel"/>
    <s v="Book"/>
    <x v="3"/>
    <n v="1"/>
    <n v="35805"/>
    <x v="22"/>
    <x v="20"/>
    <x v="3"/>
    <s v="Debit Card"/>
    <n v="4.9000000000000004"/>
  </r>
  <r>
    <s v="C0024"/>
    <s v="Pooja Reddy"/>
    <s v="Bag"/>
    <x v="1"/>
    <n v="1"/>
    <n v="39399"/>
    <x v="23"/>
    <x v="21"/>
    <x v="6"/>
    <s v="Net Banking"/>
    <n v="3.8"/>
  </r>
  <r>
    <s v="C0025"/>
    <s v="Aarav Sharma"/>
    <s v="Shoes"/>
    <x v="2"/>
    <n v="3"/>
    <n v="14586"/>
    <x v="24"/>
    <x v="22"/>
    <x v="1"/>
    <s v="UPI"/>
    <n v="3.2"/>
  </r>
  <r>
    <s v="C0026"/>
    <s v="Suresh Singh"/>
    <s v="Mixer"/>
    <x v="4"/>
    <n v="4"/>
    <n v="6968"/>
    <x v="25"/>
    <x v="23"/>
    <x v="3"/>
    <s v="Net Banking"/>
    <n v="4.9000000000000004"/>
  </r>
  <r>
    <s v="C0027"/>
    <s v="Suresh Sharma"/>
    <s v="Mobile"/>
    <x v="0"/>
    <n v="4"/>
    <n v="46523"/>
    <x v="26"/>
    <x v="24"/>
    <x v="4"/>
    <s v="UPI"/>
    <n v="4.9000000000000004"/>
  </r>
  <r>
    <s v="C0028"/>
    <s v="Ananya Reddy"/>
    <s v="Mobile"/>
    <x v="0"/>
    <n v="4"/>
    <n v="46272"/>
    <x v="27"/>
    <x v="25"/>
    <x v="0"/>
    <s v="Net Banking"/>
    <n v="3.7"/>
  </r>
  <r>
    <s v="C0029"/>
    <s v="Neha Sharma"/>
    <s v="Keyboard"/>
    <x v="0"/>
    <n v="1"/>
    <n v="25538"/>
    <x v="28"/>
    <x v="26"/>
    <x v="3"/>
    <s v="UPI"/>
    <n v="4"/>
  </r>
  <r>
    <s v="C0030"/>
    <s v="Nisha Singh"/>
    <s v="Headphones"/>
    <x v="0"/>
    <n v="5"/>
    <n v="13923"/>
    <x v="29"/>
    <x v="22"/>
    <x v="6"/>
    <s v="UPI"/>
    <n v="3.9"/>
  </r>
  <r>
    <s v="C0031"/>
    <s v="Priya Singh"/>
    <s v="Keyboard"/>
    <x v="0"/>
    <n v="4"/>
    <n v="45484"/>
    <x v="30"/>
    <x v="4"/>
    <x v="1"/>
    <s v="Cash on Delivery"/>
    <n v="3.3"/>
  </r>
  <r>
    <s v="C0032"/>
    <s v="Rahul Singh"/>
    <s v="Laptop"/>
    <x v="0"/>
    <n v="3"/>
    <n v="37574"/>
    <x v="31"/>
    <x v="13"/>
    <x v="5"/>
    <s v="Net Banking"/>
    <n v="4.9000000000000004"/>
  </r>
  <r>
    <s v="C0033"/>
    <s v="Nisha Reddy"/>
    <s v="Chair"/>
    <x v="5"/>
    <n v="2"/>
    <n v="10351"/>
    <x v="32"/>
    <x v="27"/>
    <x v="0"/>
    <s v="Net Banking"/>
    <n v="4.5"/>
  </r>
  <r>
    <s v="C0034"/>
    <s v="Nisha Sharma"/>
    <s v="Mobile"/>
    <x v="0"/>
    <n v="5"/>
    <n v="555"/>
    <x v="33"/>
    <x v="28"/>
    <x v="0"/>
    <s v="Net Banking"/>
    <n v="4.5999999999999996"/>
  </r>
  <r>
    <s v="C0035"/>
    <s v="Riya Sharma"/>
    <s v="Mixer"/>
    <x v="4"/>
    <n v="4"/>
    <n v="37257"/>
    <x v="34"/>
    <x v="29"/>
    <x v="6"/>
    <s v="Debit Card"/>
    <n v="4.0999999999999996"/>
  </r>
  <r>
    <s v="C0036"/>
    <s v="Aisha Singh"/>
    <s v="Bag"/>
    <x v="1"/>
    <n v="1"/>
    <n v="17907"/>
    <x v="35"/>
    <x v="30"/>
    <x v="6"/>
    <s v="Credit Card"/>
    <n v="3.3"/>
  </r>
  <r>
    <s v="C0037"/>
    <s v="Kavya Patel"/>
    <s v="Keyboard"/>
    <x v="0"/>
    <n v="2"/>
    <n v="10369"/>
    <x v="36"/>
    <x v="10"/>
    <x v="6"/>
    <s v="Credit Card"/>
    <n v="3.1"/>
  </r>
  <r>
    <s v="C0038"/>
    <s v="Sneha Reddy"/>
    <s v="Laptop"/>
    <x v="0"/>
    <n v="5"/>
    <n v="309"/>
    <x v="37"/>
    <x v="31"/>
    <x v="0"/>
    <s v="Credit Card"/>
    <n v="3.8"/>
  </r>
  <r>
    <s v="C0039"/>
    <s v="Nisha Sharma"/>
    <s v="Keyboard"/>
    <x v="0"/>
    <n v="1"/>
    <n v="6167"/>
    <x v="38"/>
    <x v="32"/>
    <x v="3"/>
    <s v="Net Banking"/>
    <n v="4.9000000000000004"/>
  </r>
  <r>
    <s v="C0040"/>
    <s v="Pooja Reddy"/>
    <s v="Chair"/>
    <x v="5"/>
    <n v="1"/>
    <n v="8344"/>
    <x v="39"/>
    <x v="33"/>
    <x v="6"/>
    <s v="Net Banking"/>
    <n v="3.6"/>
  </r>
  <r>
    <s v="C0041"/>
    <s v="Arjun Sharma"/>
    <s v="Chair"/>
    <x v="5"/>
    <n v="2"/>
    <n v="19996"/>
    <x v="40"/>
    <x v="34"/>
    <x v="3"/>
    <s v="Credit Card"/>
    <n v="4"/>
  </r>
  <r>
    <s v="C0042"/>
    <s v="Kavya Reddy"/>
    <s v="Shoes"/>
    <x v="2"/>
    <n v="2"/>
    <n v="4486"/>
    <x v="41"/>
    <x v="35"/>
    <x v="6"/>
    <s v="Net Banking"/>
    <n v="4.3"/>
  </r>
  <r>
    <s v="C0043"/>
    <s v="Divya Singh"/>
    <s v="Headphones"/>
    <x v="0"/>
    <n v="4"/>
    <n v="19193"/>
    <x v="42"/>
    <x v="15"/>
    <x v="2"/>
    <s v="Debit Card"/>
    <n v="4"/>
  </r>
  <r>
    <s v="C0044"/>
    <s v="Arjun Patel"/>
    <s v="Keyboard"/>
    <x v="0"/>
    <n v="1"/>
    <n v="33480"/>
    <x v="43"/>
    <x v="36"/>
    <x v="4"/>
    <s v="Credit Card"/>
    <n v="3.5"/>
  </r>
  <r>
    <s v="C0045"/>
    <s v="Aisha Kumar"/>
    <s v="Keyboard"/>
    <x v="0"/>
    <n v="1"/>
    <n v="19700"/>
    <x v="44"/>
    <x v="37"/>
    <x v="1"/>
    <s v="UPI"/>
    <n v="3.2"/>
  </r>
  <r>
    <s v="C0046"/>
    <s v="Vikram Singh"/>
    <s v="T-Shirt"/>
    <x v="2"/>
    <n v="2"/>
    <n v="23862"/>
    <x v="45"/>
    <x v="38"/>
    <x v="5"/>
    <s v="Net Banking"/>
    <n v="3.7"/>
  </r>
  <r>
    <s v="C0047"/>
    <s v="Kiran Reddy"/>
    <s v="Headphones"/>
    <x v="0"/>
    <n v="4"/>
    <n v="15755"/>
    <x v="46"/>
    <x v="39"/>
    <x v="6"/>
    <s v="Cash on Delivery"/>
    <n v="4.5999999999999996"/>
  </r>
  <r>
    <s v="C0048"/>
    <s v="Sneha Sharma"/>
    <s v="Chair"/>
    <x v="5"/>
    <n v="2"/>
    <n v="11393"/>
    <x v="47"/>
    <x v="10"/>
    <x v="2"/>
    <s v="Net Banking"/>
    <n v="3.6"/>
  </r>
  <r>
    <s v="C0049"/>
    <s v="Pooja Kumar"/>
    <s v="T-Shirt"/>
    <x v="2"/>
    <n v="5"/>
    <n v="24310"/>
    <x v="48"/>
    <x v="40"/>
    <x v="0"/>
    <s v="Credit Card"/>
    <n v="4.0999999999999996"/>
  </r>
  <r>
    <s v="C0050"/>
    <s v="Diya Reddy"/>
    <s v="Watch"/>
    <x v="1"/>
    <n v="4"/>
    <n v="27576"/>
    <x v="49"/>
    <x v="41"/>
    <x v="1"/>
    <s v="Cash on Delivery"/>
    <n v="4.3"/>
  </r>
  <r>
    <s v="C0051"/>
    <s v="Rahul Reddy"/>
    <s v="Headphones"/>
    <x v="0"/>
    <n v="5"/>
    <n v="32482"/>
    <x v="50"/>
    <x v="42"/>
    <x v="3"/>
    <s v="Debit Card"/>
    <n v="4.8"/>
  </r>
  <r>
    <s v="C0052"/>
    <s v="Sneha Singh"/>
    <s v="Chair"/>
    <x v="5"/>
    <n v="2"/>
    <n v="29579"/>
    <x v="51"/>
    <x v="43"/>
    <x v="4"/>
    <s v="UPI"/>
    <n v="4.9000000000000004"/>
  </r>
  <r>
    <s v="C0053"/>
    <s v="Arjun Kumar"/>
    <s v="Keyboard"/>
    <x v="0"/>
    <n v="4"/>
    <n v="14304"/>
    <x v="52"/>
    <x v="24"/>
    <x v="1"/>
    <s v="Cash on Delivery"/>
    <n v="4.3"/>
  </r>
  <r>
    <s v="C0054"/>
    <s v="Meera Singh"/>
    <s v="Tablet"/>
    <x v="0"/>
    <n v="4"/>
    <n v="24084"/>
    <x v="53"/>
    <x v="44"/>
    <x v="6"/>
    <s v="Cash on Delivery"/>
    <n v="4.4000000000000004"/>
  </r>
  <r>
    <s v="C0055"/>
    <s v="Riya Singh"/>
    <s v="Mixer"/>
    <x v="4"/>
    <n v="4"/>
    <n v="15006"/>
    <x v="54"/>
    <x v="45"/>
    <x v="4"/>
    <s v="Cash on Delivery"/>
    <n v="4.5999999999999996"/>
  </r>
  <r>
    <s v="C0056"/>
    <s v="Aisha Reddy"/>
    <s v="T-Shirt"/>
    <x v="2"/>
    <n v="5"/>
    <n v="14464"/>
    <x v="55"/>
    <x v="46"/>
    <x v="6"/>
    <s v="Credit Card"/>
    <n v="3.5"/>
  </r>
  <r>
    <s v="C0057"/>
    <s v="Riya Singh"/>
    <s v="Laptop"/>
    <x v="0"/>
    <n v="1"/>
    <n v="9542"/>
    <x v="56"/>
    <x v="47"/>
    <x v="6"/>
    <s v="Debit Card"/>
    <n v="3.7"/>
  </r>
  <r>
    <s v="C0058"/>
    <s v="Nisha Patel"/>
    <s v="Watch"/>
    <x v="1"/>
    <n v="4"/>
    <n v="31312"/>
    <x v="57"/>
    <x v="48"/>
    <x v="2"/>
    <s v="Debit Card"/>
    <n v="3.4"/>
  </r>
  <r>
    <s v="C0059"/>
    <s v="Lakshmi Singh"/>
    <s v="T-Shirt"/>
    <x v="2"/>
    <n v="5"/>
    <n v="33598"/>
    <x v="58"/>
    <x v="49"/>
    <x v="6"/>
    <s v="UPI"/>
    <n v="4.5"/>
  </r>
  <r>
    <s v="C0060"/>
    <s v="Ananya Kumar"/>
    <s v="Bag"/>
    <x v="1"/>
    <n v="2"/>
    <n v="31551"/>
    <x v="59"/>
    <x v="34"/>
    <x v="0"/>
    <s v="Net Banking"/>
    <n v="4.7"/>
  </r>
  <r>
    <s v="C0061"/>
    <s v="Meera Singh"/>
    <s v="Laptop"/>
    <x v="0"/>
    <n v="1"/>
    <n v="18514"/>
    <x v="60"/>
    <x v="50"/>
    <x v="3"/>
    <s v="Net Banking"/>
    <n v="3.6"/>
  </r>
  <r>
    <s v="C0062"/>
    <s v="Kiran Reddy"/>
    <s v="Laptop"/>
    <x v="0"/>
    <n v="4"/>
    <n v="18315"/>
    <x v="61"/>
    <x v="38"/>
    <x v="2"/>
    <s v="Credit Card"/>
    <n v="4"/>
  </r>
  <r>
    <s v="C0063"/>
    <s v="Neha Sharma"/>
    <s v="Headphones"/>
    <x v="0"/>
    <n v="4"/>
    <n v="16870"/>
    <x v="62"/>
    <x v="51"/>
    <x v="2"/>
    <s v="Net Banking"/>
    <n v="4.5999999999999996"/>
  </r>
  <r>
    <s v="C0064"/>
    <s v="Priya Patel"/>
    <s v="Mobile"/>
    <x v="0"/>
    <n v="4"/>
    <n v="32194"/>
    <x v="63"/>
    <x v="52"/>
    <x v="4"/>
    <s v="UPI"/>
    <n v="3.9"/>
  </r>
  <r>
    <s v="C0065"/>
    <s v="Aarav Patel"/>
    <s v="Keyboard"/>
    <x v="0"/>
    <n v="5"/>
    <n v="14896"/>
    <x v="64"/>
    <x v="32"/>
    <x v="1"/>
    <s v="Net Banking"/>
    <n v="3"/>
  </r>
  <r>
    <s v="C0066"/>
    <s v="Kavya Sharma"/>
    <s v="Tablet"/>
    <x v="0"/>
    <n v="1"/>
    <n v="38925"/>
    <x v="65"/>
    <x v="53"/>
    <x v="3"/>
    <s v="Net Banking"/>
    <n v="4.5999999999999996"/>
  </r>
  <r>
    <s v="C0067"/>
    <s v="Kavya Patel"/>
    <s v="Mobile"/>
    <x v="0"/>
    <n v="1"/>
    <n v="34963"/>
    <x v="66"/>
    <x v="54"/>
    <x v="3"/>
    <s v="Cash on Delivery"/>
    <n v="3.8"/>
  </r>
  <r>
    <s v="C0068"/>
    <s v="Arjun Sharma"/>
    <s v="Headphones"/>
    <x v="0"/>
    <n v="3"/>
    <n v="22367"/>
    <x v="67"/>
    <x v="55"/>
    <x v="5"/>
    <s v="Net Banking"/>
    <n v="5"/>
  </r>
  <r>
    <s v="C0069"/>
    <s v="Aarav Singh"/>
    <s v="Book"/>
    <x v="3"/>
    <n v="1"/>
    <n v="21314"/>
    <x v="68"/>
    <x v="17"/>
    <x v="3"/>
    <s v="Cash on Delivery"/>
    <n v="3.7"/>
  </r>
  <r>
    <s v="C0070"/>
    <s v="Kavya Sharma"/>
    <s v="Book"/>
    <x v="3"/>
    <n v="5"/>
    <n v="36276"/>
    <x v="69"/>
    <x v="56"/>
    <x v="2"/>
    <s v="Cash on Delivery"/>
    <n v="4.9000000000000004"/>
  </r>
  <r>
    <s v="C0071"/>
    <s v="Arjun Sharma"/>
    <s v="Bag"/>
    <x v="1"/>
    <n v="3"/>
    <n v="32923"/>
    <x v="70"/>
    <x v="57"/>
    <x v="1"/>
    <s v="UPI"/>
    <n v="4.2"/>
  </r>
  <r>
    <s v="C0072"/>
    <s v="Nisha Kumar"/>
    <s v="Mobile"/>
    <x v="0"/>
    <n v="4"/>
    <n v="11944"/>
    <x v="71"/>
    <x v="43"/>
    <x v="1"/>
    <s v="Net Banking"/>
    <n v="3.7"/>
  </r>
  <r>
    <s v="C0073"/>
    <s v="Neha Sharma"/>
    <s v="Book"/>
    <x v="3"/>
    <n v="3"/>
    <n v="32183"/>
    <x v="72"/>
    <x v="21"/>
    <x v="3"/>
    <s v="Debit Card"/>
    <n v="4"/>
  </r>
  <r>
    <s v="C0074"/>
    <s v="Meera Kumar"/>
    <s v="Mobile"/>
    <x v="0"/>
    <n v="3"/>
    <n v="48487"/>
    <x v="73"/>
    <x v="58"/>
    <x v="5"/>
    <s v="Cash on Delivery"/>
    <n v="4.4000000000000004"/>
  </r>
  <r>
    <s v="C0075"/>
    <s v="Suresh Singh"/>
    <s v="Mixer"/>
    <x v="4"/>
    <n v="1"/>
    <n v="36031"/>
    <x v="74"/>
    <x v="58"/>
    <x v="2"/>
    <s v="UPI"/>
    <n v="4"/>
  </r>
  <r>
    <s v="C0076"/>
    <s v="Rahul Sharma"/>
    <s v="Book"/>
    <x v="3"/>
    <n v="1"/>
    <n v="34071"/>
    <x v="75"/>
    <x v="22"/>
    <x v="3"/>
    <s v="UPI"/>
    <n v="3.2"/>
  </r>
  <r>
    <s v="C0077"/>
    <s v="Kavya Singh"/>
    <s v="Tablet"/>
    <x v="0"/>
    <n v="4"/>
    <n v="9944"/>
    <x v="76"/>
    <x v="59"/>
    <x v="3"/>
    <s v="Debit Card"/>
    <n v="4.5"/>
  </r>
  <r>
    <s v="C0078"/>
    <s v="Kavya Patel"/>
    <s v="Shoes"/>
    <x v="2"/>
    <n v="2"/>
    <n v="18459"/>
    <x v="77"/>
    <x v="60"/>
    <x v="2"/>
    <s v="Credit Card"/>
    <n v="3.2"/>
  </r>
  <r>
    <s v="C0079"/>
    <s v="Rohit Singh"/>
    <s v="Watch"/>
    <x v="1"/>
    <n v="5"/>
    <n v="23844"/>
    <x v="78"/>
    <x v="53"/>
    <x v="5"/>
    <s v="Cash on Delivery"/>
    <n v="4.4000000000000004"/>
  </r>
  <r>
    <s v="C0080"/>
    <s v="Ananya Kumar"/>
    <s v="Bag"/>
    <x v="1"/>
    <n v="1"/>
    <n v="40471"/>
    <x v="79"/>
    <x v="27"/>
    <x v="3"/>
    <s v="Credit Card"/>
    <n v="4.5"/>
  </r>
  <r>
    <s v="C0081"/>
    <s v="Kavya Sharma"/>
    <s v="T-Shirt"/>
    <x v="2"/>
    <n v="1"/>
    <n v="46209"/>
    <x v="80"/>
    <x v="39"/>
    <x v="2"/>
    <s v="Net Banking"/>
    <n v="3.1"/>
  </r>
  <r>
    <s v="C0082"/>
    <s v="Rohit Reddy"/>
    <s v="Laptop"/>
    <x v="0"/>
    <n v="1"/>
    <n v="35696"/>
    <x v="81"/>
    <x v="61"/>
    <x v="6"/>
    <s v="Net Banking"/>
    <n v="4.4000000000000004"/>
  </r>
  <r>
    <s v="C0083"/>
    <s v="Aarav Reddy"/>
    <s v="Mobile"/>
    <x v="0"/>
    <n v="5"/>
    <n v="3461"/>
    <x v="82"/>
    <x v="62"/>
    <x v="0"/>
    <s v="UPI"/>
    <n v="3.5"/>
  </r>
  <r>
    <s v="C0084"/>
    <s v="Neha Singh"/>
    <s v="Shoes"/>
    <x v="2"/>
    <n v="5"/>
    <n v="46388"/>
    <x v="83"/>
    <x v="26"/>
    <x v="0"/>
    <s v="UPI"/>
    <n v="4.4000000000000004"/>
  </r>
  <r>
    <s v="C0085"/>
    <s v="Kavya Reddy"/>
    <s v="Watch"/>
    <x v="1"/>
    <n v="1"/>
    <n v="33565"/>
    <x v="84"/>
    <x v="63"/>
    <x v="0"/>
    <s v="Cash on Delivery"/>
    <n v="3.3"/>
  </r>
  <r>
    <s v="C0086"/>
    <s v="Kiran Kumar"/>
    <s v="Headphones"/>
    <x v="0"/>
    <n v="5"/>
    <n v="28257"/>
    <x v="85"/>
    <x v="64"/>
    <x v="2"/>
    <s v="Cash on Delivery"/>
    <n v="3.5"/>
  </r>
  <r>
    <s v="C0087"/>
    <s v="Priya Kumar"/>
    <s v="Watch"/>
    <x v="1"/>
    <n v="4"/>
    <n v="46335"/>
    <x v="86"/>
    <x v="65"/>
    <x v="3"/>
    <s v="UPI"/>
    <n v="4.8"/>
  </r>
  <r>
    <s v="C0088"/>
    <s v="Rohit Reddy"/>
    <s v="Watch"/>
    <x v="1"/>
    <n v="3"/>
    <n v="33267"/>
    <x v="87"/>
    <x v="13"/>
    <x v="5"/>
    <s v="Net Banking"/>
    <n v="3.1"/>
  </r>
  <r>
    <s v="C0089"/>
    <s v="Neha Reddy"/>
    <s v="Headphones"/>
    <x v="0"/>
    <n v="1"/>
    <n v="29290"/>
    <x v="88"/>
    <x v="45"/>
    <x v="0"/>
    <s v="Net Banking"/>
    <n v="4.4000000000000004"/>
  </r>
  <r>
    <s v="C0090"/>
    <s v="Suresh Singh"/>
    <s v="Tablet"/>
    <x v="0"/>
    <n v="3"/>
    <n v="47354"/>
    <x v="89"/>
    <x v="12"/>
    <x v="6"/>
    <s v="Net Banking"/>
    <n v="4"/>
  </r>
  <r>
    <s v="C0091"/>
    <s v="Rahul Singh"/>
    <s v="Laptop"/>
    <x v="0"/>
    <n v="1"/>
    <n v="26480"/>
    <x v="90"/>
    <x v="39"/>
    <x v="1"/>
    <s v="Cash on Delivery"/>
    <n v="4.8"/>
  </r>
  <r>
    <s v="C0092"/>
    <s v="Vikram Kumar"/>
    <s v="T-Shirt"/>
    <x v="2"/>
    <n v="1"/>
    <n v="17191"/>
    <x v="91"/>
    <x v="66"/>
    <x v="6"/>
    <s v="Credit Card"/>
    <n v="4.3"/>
  </r>
  <r>
    <s v="C0093"/>
    <s v="Kiran Kumar"/>
    <s v="Mixer"/>
    <x v="4"/>
    <n v="1"/>
    <n v="47185"/>
    <x v="92"/>
    <x v="43"/>
    <x v="6"/>
    <s v="Debit Card"/>
    <n v="4.5999999999999996"/>
  </r>
  <r>
    <s v="C0094"/>
    <s v="Lakshmi Patel"/>
    <s v="Laptop"/>
    <x v="0"/>
    <n v="5"/>
    <n v="11172"/>
    <x v="93"/>
    <x v="44"/>
    <x v="4"/>
    <s v="UPI"/>
    <n v="4.5"/>
  </r>
  <r>
    <s v="C0095"/>
    <s v="Meera Singh"/>
    <s v="Chair"/>
    <x v="5"/>
    <n v="3"/>
    <n v="2243"/>
    <x v="94"/>
    <x v="67"/>
    <x v="5"/>
    <s v="UPI"/>
    <n v="3.6"/>
  </r>
  <r>
    <s v="C0096"/>
    <s v="Vikram Kumar"/>
    <s v="Keyboard"/>
    <x v="0"/>
    <n v="1"/>
    <n v="43083"/>
    <x v="95"/>
    <x v="68"/>
    <x v="0"/>
    <s v="UPI"/>
    <n v="4.2"/>
  </r>
  <r>
    <s v="C0097"/>
    <s v="Kiran Patel"/>
    <s v="Book"/>
    <x v="3"/>
    <n v="3"/>
    <n v="34390"/>
    <x v="96"/>
    <x v="69"/>
    <x v="3"/>
    <s v="Net Banking"/>
    <n v="3.7"/>
  </r>
  <r>
    <s v="C0098"/>
    <s v="Rahul Kumar"/>
    <s v="Shoes"/>
    <x v="2"/>
    <n v="4"/>
    <n v="15607"/>
    <x v="97"/>
    <x v="62"/>
    <x v="0"/>
    <s v="UPI"/>
    <n v="3.8"/>
  </r>
  <r>
    <s v="C0099"/>
    <s v="Rahul Kumar"/>
    <s v="Chair"/>
    <x v="5"/>
    <n v="3"/>
    <n v="43731"/>
    <x v="98"/>
    <x v="70"/>
    <x v="2"/>
    <s v="Net Banking"/>
    <n v="3.9"/>
  </r>
  <r>
    <s v="C0100"/>
    <s v="Priya Patel"/>
    <s v="Mixer"/>
    <x v="4"/>
    <n v="5"/>
    <n v="40517"/>
    <x v="99"/>
    <x v="18"/>
    <x v="4"/>
    <s v="Debit Card"/>
    <n v="3.8"/>
  </r>
  <r>
    <s v="C0101"/>
    <s v="Kavya Singh"/>
    <s v="Mobile"/>
    <x v="0"/>
    <n v="5"/>
    <n v="35108"/>
    <x v="100"/>
    <x v="71"/>
    <x v="6"/>
    <s v="UPI"/>
    <n v="3.9"/>
  </r>
  <r>
    <s v="C0102"/>
    <s v="Neha Kumar"/>
    <s v="Chair"/>
    <x v="5"/>
    <n v="2"/>
    <n v="23237"/>
    <x v="101"/>
    <x v="72"/>
    <x v="5"/>
    <s v="Credit Card"/>
    <n v="4.8"/>
  </r>
  <r>
    <s v="C0103"/>
    <s v="Kavya Singh"/>
    <s v="Keyboard"/>
    <x v="0"/>
    <n v="5"/>
    <n v="16211"/>
    <x v="102"/>
    <x v="73"/>
    <x v="3"/>
    <s v="Cash on Delivery"/>
    <n v="4.5999999999999996"/>
  </r>
  <r>
    <s v="C0104"/>
    <s v="Meera Sharma"/>
    <s v="Mixer"/>
    <x v="4"/>
    <n v="4"/>
    <n v="28117"/>
    <x v="103"/>
    <x v="74"/>
    <x v="5"/>
    <s v="Credit Card"/>
    <n v="4.5999999999999996"/>
  </r>
  <r>
    <s v="C0105"/>
    <s v="Aarav Reddy"/>
    <s v="T-Shirt"/>
    <x v="2"/>
    <n v="1"/>
    <n v="42459"/>
    <x v="104"/>
    <x v="6"/>
    <x v="5"/>
    <s v="UPI"/>
    <n v="3.3"/>
  </r>
  <r>
    <s v="C0106"/>
    <s v="Aisha Singh"/>
    <s v="Mixer"/>
    <x v="4"/>
    <n v="1"/>
    <n v="39282"/>
    <x v="105"/>
    <x v="75"/>
    <x v="3"/>
    <s v="Credit Card"/>
    <n v="4.9000000000000004"/>
  </r>
  <r>
    <s v="C0107"/>
    <s v="Priya Sharma"/>
    <s v="Shoes"/>
    <x v="2"/>
    <n v="5"/>
    <n v="29569"/>
    <x v="106"/>
    <x v="76"/>
    <x v="2"/>
    <s v="Credit Card"/>
    <n v="3.6"/>
  </r>
  <r>
    <s v="C0108"/>
    <s v="Divya Singh"/>
    <s v="Mobile"/>
    <x v="0"/>
    <n v="3"/>
    <n v="48814"/>
    <x v="107"/>
    <x v="71"/>
    <x v="1"/>
    <s v="UPI"/>
    <n v="3.9"/>
  </r>
  <r>
    <s v="C0109"/>
    <s v="Meera Reddy"/>
    <s v="Laptop"/>
    <x v="0"/>
    <n v="3"/>
    <n v="40787"/>
    <x v="108"/>
    <x v="3"/>
    <x v="5"/>
    <s v="UPI"/>
    <n v="4.5999999999999996"/>
  </r>
  <r>
    <s v="C0110"/>
    <s v="Kavya Singh"/>
    <s v="Bag"/>
    <x v="1"/>
    <n v="1"/>
    <n v="46257"/>
    <x v="109"/>
    <x v="77"/>
    <x v="4"/>
    <s v="UPI"/>
    <n v="4.5999999999999996"/>
  </r>
  <r>
    <s v="C0111"/>
    <s v="Kavya Patel"/>
    <s v="Shoes"/>
    <x v="2"/>
    <n v="1"/>
    <n v="36881"/>
    <x v="110"/>
    <x v="32"/>
    <x v="1"/>
    <s v="UPI"/>
    <n v="4.9000000000000004"/>
  </r>
  <r>
    <s v="C0112"/>
    <s v="Ananya Patel"/>
    <s v="Book"/>
    <x v="3"/>
    <n v="2"/>
    <n v="43634"/>
    <x v="111"/>
    <x v="0"/>
    <x v="0"/>
    <s v="Net Banking"/>
    <n v="4.8"/>
  </r>
  <r>
    <s v="C0113"/>
    <s v="Neha Patel"/>
    <s v="Book"/>
    <x v="3"/>
    <n v="1"/>
    <n v="45054"/>
    <x v="112"/>
    <x v="78"/>
    <x v="5"/>
    <s v="Net Banking"/>
    <n v="3.9"/>
  </r>
  <r>
    <s v="C0114"/>
    <s v="Nisha Sharma"/>
    <s v="Chair"/>
    <x v="5"/>
    <n v="1"/>
    <n v="45609"/>
    <x v="113"/>
    <x v="79"/>
    <x v="5"/>
    <s v="Cash on Delivery"/>
    <n v="3.7"/>
  </r>
  <r>
    <s v="C0115"/>
    <s v="Rohit Sharma"/>
    <s v="Laptop"/>
    <x v="0"/>
    <n v="2"/>
    <n v="18322"/>
    <x v="114"/>
    <x v="80"/>
    <x v="4"/>
    <s v="UPI"/>
    <n v="3.2"/>
  </r>
  <r>
    <s v="C0116"/>
    <s v="Rahul Reddy"/>
    <s v="Shoes"/>
    <x v="2"/>
    <n v="5"/>
    <n v="36240"/>
    <x v="115"/>
    <x v="81"/>
    <x v="6"/>
    <s v="Cash on Delivery"/>
    <n v="3.5"/>
  </r>
  <r>
    <s v="C0117"/>
    <s v="Arjun Kumar"/>
    <s v="Keyboard"/>
    <x v="0"/>
    <n v="4"/>
    <n v="43933"/>
    <x v="116"/>
    <x v="6"/>
    <x v="4"/>
    <s v="Net Banking"/>
    <n v="3.2"/>
  </r>
  <r>
    <s v="C0118"/>
    <s v="Lakshmi Kumar"/>
    <s v="Headphones"/>
    <x v="0"/>
    <n v="5"/>
    <n v="19691"/>
    <x v="117"/>
    <x v="82"/>
    <x v="1"/>
    <s v="Credit Card"/>
    <n v="4"/>
  </r>
  <r>
    <s v="C0119"/>
    <s v="Meera Sharma"/>
    <s v="Keyboard"/>
    <x v="0"/>
    <n v="5"/>
    <n v="49645"/>
    <x v="118"/>
    <x v="83"/>
    <x v="5"/>
    <s v="Credit Card"/>
    <n v="4.5999999999999996"/>
  </r>
  <r>
    <s v="C0120"/>
    <s v="Rahul Kumar"/>
    <s v="Laptop"/>
    <x v="0"/>
    <n v="1"/>
    <n v="3412"/>
    <x v="119"/>
    <x v="23"/>
    <x v="0"/>
    <s v="UPI"/>
    <n v="3.9"/>
  </r>
  <r>
    <s v="C0121"/>
    <s v="Divya Patel"/>
    <s v="Tablet"/>
    <x v="0"/>
    <n v="2"/>
    <n v="38909"/>
    <x v="120"/>
    <x v="84"/>
    <x v="1"/>
    <s v="UPI"/>
    <n v="4.5"/>
  </r>
  <r>
    <s v="C0122"/>
    <s v="Vikram Reddy"/>
    <s v="Headphones"/>
    <x v="0"/>
    <n v="2"/>
    <n v="43951"/>
    <x v="121"/>
    <x v="85"/>
    <x v="2"/>
    <s v="UPI"/>
    <n v="4.5"/>
  </r>
  <r>
    <s v="C0123"/>
    <s v="Vikram Kumar"/>
    <s v="Keyboard"/>
    <x v="0"/>
    <n v="3"/>
    <n v="31306"/>
    <x v="122"/>
    <x v="86"/>
    <x v="1"/>
    <s v="UPI"/>
    <n v="3.4"/>
  </r>
  <r>
    <s v="C0124"/>
    <s v="Lakshmi Singh"/>
    <s v="Watch"/>
    <x v="1"/>
    <n v="2"/>
    <n v="27497"/>
    <x v="123"/>
    <x v="66"/>
    <x v="3"/>
    <s v="Cash on Delivery"/>
    <n v="4.5999999999999996"/>
  </r>
  <r>
    <s v="C0125"/>
    <s v="Nisha Kumar"/>
    <s v="T-Shirt"/>
    <x v="2"/>
    <n v="5"/>
    <n v="6932"/>
    <x v="124"/>
    <x v="6"/>
    <x v="1"/>
    <s v="Net Banking"/>
    <n v="4.4000000000000004"/>
  </r>
  <r>
    <s v="C0126"/>
    <s v="Nisha Singh"/>
    <s v="Book"/>
    <x v="3"/>
    <n v="4"/>
    <n v="8703"/>
    <x v="125"/>
    <x v="77"/>
    <x v="1"/>
    <s v="Net Banking"/>
    <n v="4.4000000000000004"/>
  </r>
  <r>
    <s v="C0127"/>
    <s v="Aisha Kumar"/>
    <s v="Mobile"/>
    <x v="0"/>
    <n v="2"/>
    <n v="11062"/>
    <x v="126"/>
    <x v="56"/>
    <x v="3"/>
    <s v="Cash on Delivery"/>
    <n v="3.2"/>
  </r>
  <r>
    <s v="C0128"/>
    <s v="Sneha Sharma"/>
    <s v="Keyboard"/>
    <x v="0"/>
    <n v="4"/>
    <n v="22139"/>
    <x v="127"/>
    <x v="87"/>
    <x v="5"/>
    <s v="Credit Card"/>
    <n v="3.3"/>
  </r>
  <r>
    <s v="C0129"/>
    <s v="Divya Sharma"/>
    <s v="Bag"/>
    <x v="1"/>
    <n v="1"/>
    <n v="33490"/>
    <x v="128"/>
    <x v="88"/>
    <x v="6"/>
    <s v="Debit Card"/>
    <n v="4.3"/>
  </r>
  <r>
    <s v="C0130"/>
    <s v="Ananya Kumar"/>
    <s v="Mixer"/>
    <x v="4"/>
    <n v="2"/>
    <n v="17751"/>
    <x v="129"/>
    <x v="70"/>
    <x v="5"/>
    <s v="UPI"/>
    <n v="4.5"/>
  </r>
  <r>
    <s v="C0131"/>
    <s v="Rahul Sharma"/>
    <s v="Mixer"/>
    <x v="4"/>
    <n v="2"/>
    <n v="25309"/>
    <x v="130"/>
    <x v="89"/>
    <x v="1"/>
    <s v="Cash on Delivery"/>
    <n v="4.5999999999999996"/>
  </r>
  <r>
    <s v="C0132"/>
    <s v="Meera Patel"/>
    <s v="Mixer"/>
    <x v="4"/>
    <n v="3"/>
    <n v="35889"/>
    <x v="131"/>
    <x v="90"/>
    <x v="4"/>
    <s v="Net Banking"/>
    <n v="4.4000000000000004"/>
  </r>
  <r>
    <s v="C0133"/>
    <s v="Aarav Patel"/>
    <s v="Mixer"/>
    <x v="4"/>
    <n v="2"/>
    <n v="1518"/>
    <x v="132"/>
    <x v="13"/>
    <x v="4"/>
    <s v="UPI"/>
    <n v="4.8"/>
  </r>
  <r>
    <s v="C0134"/>
    <s v="Kavya Sharma"/>
    <s v="Chair"/>
    <x v="5"/>
    <n v="3"/>
    <n v="6705"/>
    <x v="133"/>
    <x v="91"/>
    <x v="3"/>
    <s v="Net Banking"/>
    <n v="3.4"/>
  </r>
  <r>
    <s v="C0135"/>
    <s v="Ananya Patel"/>
    <s v="Keyboard"/>
    <x v="0"/>
    <n v="1"/>
    <n v="32012"/>
    <x v="134"/>
    <x v="92"/>
    <x v="5"/>
    <s v="Cash on Delivery"/>
    <n v="5"/>
  </r>
  <r>
    <s v="C0136"/>
    <s v="Aarav Reddy"/>
    <s v="Mobile"/>
    <x v="0"/>
    <n v="5"/>
    <n v="42348"/>
    <x v="135"/>
    <x v="93"/>
    <x v="4"/>
    <s v="Credit Card"/>
    <n v="3.6"/>
  </r>
  <r>
    <s v="C0137"/>
    <s v="Neha Reddy"/>
    <s v="Shoes"/>
    <x v="2"/>
    <n v="5"/>
    <n v="11626"/>
    <x v="136"/>
    <x v="94"/>
    <x v="3"/>
    <s v="Credit Card"/>
    <n v="5"/>
  </r>
  <r>
    <s v="C0138"/>
    <s v="Priya Singh"/>
    <s v="Laptop"/>
    <x v="0"/>
    <n v="5"/>
    <n v="47452"/>
    <x v="137"/>
    <x v="95"/>
    <x v="6"/>
    <s v="Debit Card"/>
    <n v="3.9"/>
  </r>
  <r>
    <s v="C0139"/>
    <s v="Lakshmi Singh"/>
    <s v="Headphones"/>
    <x v="0"/>
    <n v="1"/>
    <n v="27899"/>
    <x v="138"/>
    <x v="96"/>
    <x v="0"/>
    <s v="Debit Card"/>
    <n v="4.5"/>
  </r>
  <r>
    <s v="C0140"/>
    <s v="Sneha Kumar"/>
    <s v="Bag"/>
    <x v="1"/>
    <n v="2"/>
    <n v="4810"/>
    <x v="139"/>
    <x v="97"/>
    <x v="5"/>
    <s v="Net Banking"/>
    <n v="3.5"/>
  </r>
  <r>
    <s v="C0141"/>
    <s v="Kavya Reddy"/>
    <s v="Mixer"/>
    <x v="4"/>
    <n v="5"/>
    <n v="35459"/>
    <x v="140"/>
    <x v="4"/>
    <x v="3"/>
    <s v="UPI"/>
    <n v="4"/>
  </r>
  <r>
    <s v="C0142"/>
    <s v="Neha Kumar"/>
    <s v="Headphones"/>
    <x v="0"/>
    <n v="5"/>
    <n v="24947"/>
    <x v="141"/>
    <x v="35"/>
    <x v="6"/>
    <s v="Net Banking"/>
    <n v="3.3"/>
  </r>
  <r>
    <s v="C0143"/>
    <s v="Riya Patel"/>
    <s v="T-Shirt"/>
    <x v="2"/>
    <n v="4"/>
    <n v="12790"/>
    <x v="142"/>
    <x v="98"/>
    <x v="3"/>
    <s v="Debit Card"/>
    <n v="4.4000000000000004"/>
  </r>
  <r>
    <s v="C0144"/>
    <s v="Vikram Kumar"/>
    <s v="T-Shirt"/>
    <x v="2"/>
    <n v="3"/>
    <n v="32850"/>
    <x v="143"/>
    <x v="17"/>
    <x v="4"/>
    <s v="Cash on Delivery"/>
    <n v="3.4"/>
  </r>
  <r>
    <s v="C0145"/>
    <s v="Divya Reddy"/>
    <s v="Shoes"/>
    <x v="2"/>
    <n v="5"/>
    <n v="45465"/>
    <x v="144"/>
    <x v="62"/>
    <x v="5"/>
    <s v="Debit Card"/>
    <n v="3.9"/>
  </r>
  <r>
    <s v="C0146"/>
    <s v="Vikram Reddy"/>
    <s v="Shoes"/>
    <x v="2"/>
    <n v="1"/>
    <n v="3693"/>
    <x v="145"/>
    <x v="99"/>
    <x v="2"/>
    <s v="UPI"/>
    <n v="4.5"/>
  </r>
  <r>
    <s v="C0147"/>
    <s v="Lakshmi Reddy"/>
    <s v="Chair"/>
    <x v="5"/>
    <n v="3"/>
    <n v="25476"/>
    <x v="146"/>
    <x v="8"/>
    <x v="2"/>
    <s v="UPI"/>
    <n v="3.4"/>
  </r>
  <r>
    <s v="C0148"/>
    <s v="Sneha Singh"/>
    <s v="Bag"/>
    <x v="1"/>
    <n v="3"/>
    <n v="26710"/>
    <x v="147"/>
    <x v="84"/>
    <x v="6"/>
    <s v="Credit Card"/>
    <n v="3.1"/>
  </r>
  <r>
    <s v="C0149"/>
    <s v="Meera Kumar"/>
    <s v="Bag"/>
    <x v="1"/>
    <n v="1"/>
    <n v="10366"/>
    <x v="148"/>
    <x v="93"/>
    <x v="5"/>
    <s v="Cash on Delivery"/>
    <n v="4.5999999999999996"/>
  </r>
  <r>
    <s v="C0150"/>
    <s v="Neha Sharma"/>
    <s v="Book"/>
    <x v="3"/>
    <n v="5"/>
    <n v="12842"/>
    <x v="149"/>
    <x v="100"/>
    <x v="5"/>
    <s v="UPI"/>
    <n v="3.8"/>
  </r>
  <r>
    <s v="C0151"/>
    <s v="Suresh Singh"/>
    <s v="T-Shirt"/>
    <x v="2"/>
    <n v="5"/>
    <n v="28267"/>
    <x v="150"/>
    <x v="101"/>
    <x v="0"/>
    <s v="Net Banking"/>
    <n v="4.8"/>
  </r>
  <r>
    <s v="C0152"/>
    <s v="Kavya Kumar"/>
    <s v="Watch"/>
    <x v="1"/>
    <n v="5"/>
    <n v="37424"/>
    <x v="151"/>
    <x v="102"/>
    <x v="2"/>
    <s v="Cash on Delivery"/>
    <n v="4.0999999999999996"/>
  </r>
  <r>
    <s v="C0153"/>
    <s v="Pooja Sharma"/>
    <s v="Bag"/>
    <x v="1"/>
    <n v="4"/>
    <n v="30382"/>
    <x v="152"/>
    <x v="4"/>
    <x v="2"/>
    <s v="UPI"/>
    <n v="3.1"/>
  </r>
  <r>
    <s v="C0154"/>
    <s v="Kavya Reddy"/>
    <s v="Shoes"/>
    <x v="2"/>
    <n v="1"/>
    <n v="11357"/>
    <x v="153"/>
    <x v="23"/>
    <x v="0"/>
    <s v="Credit Card"/>
    <n v="4.9000000000000004"/>
  </r>
  <r>
    <s v="C0155"/>
    <s v="Meera Reddy"/>
    <s v="Book"/>
    <x v="3"/>
    <n v="5"/>
    <n v="44894"/>
    <x v="154"/>
    <x v="103"/>
    <x v="2"/>
    <s v="Credit Card"/>
    <n v="3.2"/>
  </r>
  <r>
    <s v="C0156"/>
    <s v="Divya Sharma"/>
    <s v="Shoes"/>
    <x v="2"/>
    <n v="4"/>
    <n v="23378"/>
    <x v="155"/>
    <x v="1"/>
    <x v="1"/>
    <s v="Cash on Delivery"/>
    <n v="3.4"/>
  </r>
  <r>
    <s v="C0157"/>
    <s v="Meera Sharma"/>
    <s v="Watch"/>
    <x v="1"/>
    <n v="3"/>
    <n v="21470"/>
    <x v="156"/>
    <x v="7"/>
    <x v="6"/>
    <s v="Debit Card"/>
    <n v="3.4"/>
  </r>
  <r>
    <s v="C0158"/>
    <s v="Neha Kumar"/>
    <s v="Laptop"/>
    <x v="0"/>
    <n v="1"/>
    <n v="38690"/>
    <x v="157"/>
    <x v="79"/>
    <x v="3"/>
    <s v="UPI"/>
    <n v="3.6"/>
  </r>
  <r>
    <s v="C0159"/>
    <s v="Nisha Reddy"/>
    <s v="Tablet"/>
    <x v="0"/>
    <n v="3"/>
    <n v="35794"/>
    <x v="158"/>
    <x v="65"/>
    <x v="1"/>
    <s v="Cash on Delivery"/>
    <n v="4.4000000000000004"/>
  </r>
  <r>
    <s v="C0160"/>
    <s v="Neha Kumar"/>
    <s v="Keyboard"/>
    <x v="0"/>
    <n v="4"/>
    <n v="2214"/>
    <x v="159"/>
    <x v="18"/>
    <x v="2"/>
    <s v="Credit Card"/>
    <n v="3.2"/>
  </r>
  <r>
    <s v="C0161"/>
    <s v="Kiran Sharma"/>
    <s v="Mixer"/>
    <x v="4"/>
    <n v="1"/>
    <n v="11817"/>
    <x v="160"/>
    <x v="31"/>
    <x v="0"/>
    <s v="Credit Card"/>
    <n v="3.2"/>
  </r>
  <r>
    <s v="C0162"/>
    <s v="Aarav Kumar"/>
    <s v="Watch"/>
    <x v="1"/>
    <n v="1"/>
    <n v="5848"/>
    <x v="161"/>
    <x v="74"/>
    <x v="0"/>
    <s v="Debit Card"/>
    <n v="4"/>
  </r>
  <r>
    <s v="C0163"/>
    <s v="Nisha Kumar"/>
    <s v="Keyboard"/>
    <x v="0"/>
    <n v="1"/>
    <n v="44117"/>
    <x v="162"/>
    <x v="60"/>
    <x v="2"/>
    <s v="Debit Card"/>
    <n v="3"/>
  </r>
  <r>
    <s v="C0164"/>
    <s v="Kavya Patel"/>
    <s v="Laptop"/>
    <x v="0"/>
    <n v="2"/>
    <n v="6367"/>
    <x v="163"/>
    <x v="104"/>
    <x v="5"/>
    <s v="Cash on Delivery"/>
    <n v="3.3"/>
  </r>
  <r>
    <s v="C0165"/>
    <s v="Rahul Singh"/>
    <s v="Chair"/>
    <x v="5"/>
    <n v="5"/>
    <n v="41666"/>
    <x v="164"/>
    <x v="45"/>
    <x v="2"/>
    <s v="UPI"/>
    <n v="4.7"/>
  </r>
  <r>
    <s v="C0166"/>
    <s v="Rahul Patel"/>
    <s v="Mobile"/>
    <x v="0"/>
    <n v="2"/>
    <n v="29899"/>
    <x v="165"/>
    <x v="105"/>
    <x v="1"/>
    <s v="Net Banking"/>
    <n v="3.2"/>
  </r>
  <r>
    <s v="C0167"/>
    <s v="Divya Kumar"/>
    <s v="Tablet"/>
    <x v="0"/>
    <n v="2"/>
    <n v="2785"/>
    <x v="166"/>
    <x v="106"/>
    <x v="6"/>
    <s v="Net Banking"/>
    <n v="3.8"/>
  </r>
  <r>
    <s v="C0168"/>
    <s v="Arjun Singh"/>
    <s v="T-Shirt"/>
    <x v="2"/>
    <n v="4"/>
    <n v="42113"/>
    <x v="167"/>
    <x v="12"/>
    <x v="4"/>
    <s v="Debit Card"/>
    <n v="3.6"/>
  </r>
  <r>
    <s v="C0169"/>
    <s v="Suresh Kumar"/>
    <s v="Keyboard"/>
    <x v="0"/>
    <n v="4"/>
    <n v="1740"/>
    <x v="168"/>
    <x v="58"/>
    <x v="2"/>
    <s v="UPI"/>
    <n v="4.5"/>
  </r>
  <r>
    <s v="C0170"/>
    <s v="Riya Patel"/>
    <s v="Laptop"/>
    <x v="0"/>
    <n v="1"/>
    <n v="41097"/>
    <x v="169"/>
    <x v="2"/>
    <x v="4"/>
    <s v="Net Banking"/>
    <n v="3.6"/>
  </r>
  <r>
    <s v="C0171"/>
    <s v="Vikram Sharma"/>
    <s v="Tablet"/>
    <x v="0"/>
    <n v="1"/>
    <n v="3170"/>
    <x v="170"/>
    <x v="58"/>
    <x v="5"/>
    <s v="Credit Card"/>
    <n v="3.4"/>
  </r>
  <r>
    <s v="C0172"/>
    <s v="Aisha Sharma"/>
    <s v="Shoes"/>
    <x v="2"/>
    <n v="2"/>
    <n v="48764"/>
    <x v="171"/>
    <x v="107"/>
    <x v="1"/>
    <s v="Cash on Delivery"/>
    <n v="4.3"/>
  </r>
  <r>
    <s v="C0173"/>
    <s v="Priya Patel"/>
    <s v="Tablet"/>
    <x v="0"/>
    <n v="4"/>
    <n v="39735"/>
    <x v="172"/>
    <x v="108"/>
    <x v="0"/>
    <s v="Net Banking"/>
    <n v="4.3"/>
  </r>
  <r>
    <s v="C0174"/>
    <s v="Rahul Reddy"/>
    <s v="Mixer"/>
    <x v="4"/>
    <n v="4"/>
    <n v="16399"/>
    <x v="173"/>
    <x v="80"/>
    <x v="6"/>
    <s v="UPI"/>
    <n v="4.5"/>
  </r>
  <r>
    <s v="C0175"/>
    <s v="Nisha Sharma"/>
    <s v="Mixer"/>
    <x v="4"/>
    <n v="3"/>
    <n v="37990"/>
    <x v="174"/>
    <x v="99"/>
    <x v="5"/>
    <s v="Cash on Delivery"/>
    <n v="4"/>
  </r>
  <r>
    <s v="C0176"/>
    <s v="Rohit Kumar"/>
    <s v="Watch"/>
    <x v="1"/>
    <n v="3"/>
    <n v="20917"/>
    <x v="175"/>
    <x v="109"/>
    <x v="1"/>
    <s v="Debit Card"/>
    <n v="3.7"/>
  </r>
  <r>
    <s v="C0177"/>
    <s v="Rohit Sharma"/>
    <s v="Mobile"/>
    <x v="0"/>
    <n v="4"/>
    <n v="18775"/>
    <x v="176"/>
    <x v="110"/>
    <x v="4"/>
    <s v="Net Banking"/>
    <n v="4.5"/>
  </r>
  <r>
    <s v="C0178"/>
    <s v="Meera Reddy"/>
    <s v="Headphones"/>
    <x v="0"/>
    <n v="4"/>
    <n v="38072"/>
    <x v="177"/>
    <x v="60"/>
    <x v="0"/>
    <s v="Cash on Delivery"/>
    <n v="3.9"/>
  </r>
  <r>
    <s v="C0179"/>
    <s v="Pooja Patel"/>
    <s v="Chair"/>
    <x v="5"/>
    <n v="2"/>
    <n v="16837"/>
    <x v="178"/>
    <x v="111"/>
    <x v="4"/>
    <s v="Debit Card"/>
    <n v="3.8"/>
  </r>
  <r>
    <s v="C0180"/>
    <s v="Kavya Singh"/>
    <s v="Mobile"/>
    <x v="0"/>
    <n v="5"/>
    <n v="29355"/>
    <x v="179"/>
    <x v="87"/>
    <x v="0"/>
    <s v="Credit Card"/>
    <n v="4.3"/>
  </r>
  <r>
    <s v="C0181"/>
    <s v="Arjun Singh"/>
    <s v="Watch"/>
    <x v="1"/>
    <n v="1"/>
    <n v="45235"/>
    <x v="180"/>
    <x v="112"/>
    <x v="1"/>
    <s v="Credit Card"/>
    <n v="3"/>
  </r>
  <r>
    <s v="C0182"/>
    <s v="Rohit Singh"/>
    <s v="Chair"/>
    <x v="5"/>
    <n v="2"/>
    <n v="42111"/>
    <x v="181"/>
    <x v="113"/>
    <x v="0"/>
    <s v="UPI"/>
    <n v="5"/>
  </r>
  <r>
    <s v="C0183"/>
    <s v="Meera Reddy"/>
    <s v="Book"/>
    <x v="3"/>
    <n v="4"/>
    <n v="18362"/>
    <x v="182"/>
    <x v="52"/>
    <x v="3"/>
    <s v="Net Banking"/>
    <n v="3.1"/>
  </r>
  <r>
    <s v="C0184"/>
    <s v="Ananya Patel"/>
    <s v="Tablet"/>
    <x v="0"/>
    <n v="2"/>
    <n v="44807"/>
    <x v="183"/>
    <x v="78"/>
    <x v="2"/>
    <s v="Cash on Delivery"/>
    <n v="4.0999999999999996"/>
  </r>
  <r>
    <s v="C0185"/>
    <s v="Sneha Reddy"/>
    <s v="Keyboard"/>
    <x v="0"/>
    <n v="3"/>
    <n v="659"/>
    <x v="184"/>
    <x v="0"/>
    <x v="5"/>
    <s v="Net Banking"/>
    <n v="4"/>
  </r>
  <r>
    <s v="C0186"/>
    <s v="Kiran Reddy"/>
    <s v="Tablet"/>
    <x v="0"/>
    <n v="1"/>
    <n v="31761"/>
    <x v="185"/>
    <x v="114"/>
    <x v="6"/>
    <s v="Debit Card"/>
    <n v="4.3"/>
  </r>
  <r>
    <s v="C0187"/>
    <s v="Rohit Singh"/>
    <s v="Bag"/>
    <x v="1"/>
    <n v="2"/>
    <n v="41256"/>
    <x v="186"/>
    <x v="27"/>
    <x v="6"/>
    <s v="Net Banking"/>
    <n v="4.9000000000000004"/>
  </r>
  <r>
    <s v="C0188"/>
    <s v="Pooja Patel"/>
    <s v="Laptop"/>
    <x v="0"/>
    <n v="5"/>
    <n v="2812"/>
    <x v="187"/>
    <x v="7"/>
    <x v="3"/>
    <s v="UPI"/>
    <n v="3.2"/>
  </r>
  <r>
    <s v="C0189"/>
    <s v="Rohit Patel"/>
    <s v="T-Shirt"/>
    <x v="2"/>
    <n v="5"/>
    <n v="46395"/>
    <x v="188"/>
    <x v="115"/>
    <x v="1"/>
    <s v="UPI"/>
    <n v="4.9000000000000004"/>
  </r>
  <r>
    <s v="C0190"/>
    <s v="Rahul Patel"/>
    <s v="Watch"/>
    <x v="1"/>
    <n v="2"/>
    <n v="7078"/>
    <x v="189"/>
    <x v="103"/>
    <x v="2"/>
    <s v="Net Banking"/>
    <n v="3.2"/>
  </r>
  <r>
    <s v="C0191"/>
    <s v="Rahul Patel"/>
    <s v="Laptop"/>
    <x v="0"/>
    <n v="2"/>
    <n v="46323"/>
    <x v="190"/>
    <x v="116"/>
    <x v="3"/>
    <s v="Debit Card"/>
    <n v="3.5"/>
  </r>
  <r>
    <s v="C0192"/>
    <s v="Sneha Sharma"/>
    <s v="Book"/>
    <x v="3"/>
    <n v="2"/>
    <n v="48456"/>
    <x v="191"/>
    <x v="117"/>
    <x v="6"/>
    <s v="Cash on Delivery"/>
    <n v="4.2"/>
  </r>
  <r>
    <s v="C0193"/>
    <s v="Rohit Sharma"/>
    <s v="Mixer"/>
    <x v="4"/>
    <n v="1"/>
    <n v="49234"/>
    <x v="192"/>
    <x v="115"/>
    <x v="6"/>
    <s v="UPI"/>
    <n v="4.0999999999999996"/>
  </r>
  <r>
    <s v="C0194"/>
    <s v="Diya Patel"/>
    <s v="Mobile"/>
    <x v="0"/>
    <n v="3"/>
    <n v="22866"/>
    <x v="193"/>
    <x v="36"/>
    <x v="1"/>
    <s v="Debit Card"/>
    <n v="4"/>
  </r>
  <r>
    <s v="C0195"/>
    <s v="Aisha Kumar"/>
    <s v="Shoes"/>
    <x v="2"/>
    <n v="4"/>
    <n v="37798"/>
    <x v="194"/>
    <x v="55"/>
    <x v="3"/>
    <s v="Cash on Delivery"/>
    <n v="4"/>
  </r>
  <r>
    <s v="C0196"/>
    <s v="Kiran Singh"/>
    <s v="T-Shirt"/>
    <x v="2"/>
    <n v="4"/>
    <n v="40801"/>
    <x v="195"/>
    <x v="47"/>
    <x v="6"/>
    <s v="Cash on Delivery"/>
    <n v="3.2"/>
  </r>
  <r>
    <s v="C0197"/>
    <s v="Rahul Patel"/>
    <s v="Laptop"/>
    <x v="0"/>
    <n v="5"/>
    <n v="9208"/>
    <x v="196"/>
    <x v="104"/>
    <x v="1"/>
    <s v="Debit Card"/>
    <n v="4.5"/>
  </r>
  <r>
    <s v="C0198"/>
    <s v="Riya Singh"/>
    <s v="Tablet"/>
    <x v="0"/>
    <n v="5"/>
    <n v="5542"/>
    <x v="197"/>
    <x v="60"/>
    <x v="3"/>
    <s v="Cash on Delivery"/>
    <n v="3.6"/>
  </r>
  <r>
    <s v="C0199"/>
    <s v="Meera Sharma"/>
    <s v="Shoes"/>
    <x v="2"/>
    <n v="4"/>
    <n v="36432"/>
    <x v="198"/>
    <x v="17"/>
    <x v="0"/>
    <s v="Debit Card"/>
    <n v="3.6"/>
  </r>
  <r>
    <s v="C0200"/>
    <s v="Aarav Sharma"/>
    <s v="Tablet"/>
    <x v="0"/>
    <n v="4"/>
    <n v="28598"/>
    <x v="199"/>
    <x v="112"/>
    <x v="0"/>
    <s v="Net Banking"/>
    <n v="3.5"/>
  </r>
  <r>
    <s v="C0201"/>
    <s v="Priya Kumar"/>
    <s v="Book"/>
    <x v="3"/>
    <n v="3"/>
    <n v="2255"/>
    <x v="200"/>
    <x v="118"/>
    <x v="2"/>
    <s v="Debit Card"/>
    <n v="3.3"/>
  </r>
  <r>
    <s v="C0202"/>
    <s v="Pooja Reddy"/>
    <s v="Book"/>
    <x v="3"/>
    <n v="4"/>
    <n v="17685"/>
    <x v="201"/>
    <x v="61"/>
    <x v="5"/>
    <s v="Cash on Delivery"/>
    <n v="4.2"/>
  </r>
  <r>
    <s v="C0203"/>
    <s v="Arjun Sharma"/>
    <s v="Mixer"/>
    <x v="4"/>
    <n v="4"/>
    <n v="25206"/>
    <x v="202"/>
    <x v="41"/>
    <x v="3"/>
    <s v="Cash on Delivery"/>
    <n v="3.9"/>
  </r>
  <r>
    <s v="C0204"/>
    <s v="Vikram Reddy"/>
    <s v="Mobile"/>
    <x v="0"/>
    <n v="5"/>
    <n v="44776"/>
    <x v="203"/>
    <x v="84"/>
    <x v="2"/>
    <s v="Credit Card"/>
    <n v="4.2"/>
  </r>
  <r>
    <s v="C0205"/>
    <s v="Priya Kumar"/>
    <s v="Shoes"/>
    <x v="2"/>
    <n v="3"/>
    <n v="39868"/>
    <x v="204"/>
    <x v="21"/>
    <x v="0"/>
    <s v="Debit Card"/>
    <n v="3.9"/>
  </r>
  <r>
    <s v="C0206"/>
    <s v="Aarav Patel"/>
    <s v="Chair"/>
    <x v="5"/>
    <n v="4"/>
    <n v="21267"/>
    <x v="205"/>
    <x v="80"/>
    <x v="6"/>
    <s v="Net Banking"/>
    <n v="3.3"/>
  </r>
  <r>
    <s v="C0207"/>
    <s v="Aisha Patel"/>
    <s v="Mobile"/>
    <x v="0"/>
    <n v="5"/>
    <n v="31059"/>
    <x v="206"/>
    <x v="0"/>
    <x v="2"/>
    <s v="Credit Card"/>
    <n v="4.5"/>
  </r>
  <r>
    <s v="C0208"/>
    <s v="Ananya Singh"/>
    <s v="Tablet"/>
    <x v="0"/>
    <n v="4"/>
    <n v="44334"/>
    <x v="207"/>
    <x v="51"/>
    <x v="0"/>
    <s v="Net Banking"/>
    <n v="3.6"/>
  </r>
  <r>
    <s v="C0209"/>
    <s v="Lakshmi Sharma"/>
    <s v="Headphones"/>
    <x v="0"/>
    <n v="4"/>
    <n v="7138"/>
    <x v="208"/>
    <x v="5"/>
    <x v="4"/>
    <s v="Debit Card"/>
    <n v="4.2"/>
  </r>
  <r>
    <s v="C0210"/>
    <s v="Aarav Patel"/>
    <s v="Laptop"/>
    <x v="0"/>
    <n v="2"/>
    <n v="30628"/>
    <x v="209"/>
    <x v="119"/>
    <x v="3"/>
    <s v="Debit Card"/>
    <n v="4.9000000000000004"/>
  </r>
  <r>
    <s v="C0211"/>
    <s v="Rohit Reddy"/>
    <s v="Laptop"/>
    <x v="0"/>
    <n v="4"/>
    <n v="33080"/>
    <x v="210"/>
    <x v="96"/>
    <x v="5"/>
    <s v="Net Banking"/>
    <n v="3.7"/>
  </r>
  <r>
    <s v="C0212"/>
    <s v="Vikram Singh"/>
    <s v="Laptop"/>
    <x v="0"/>
    <n v="4"/>
    <n v="14437"/>
    <x v="211"/>
    <x v="1"/>
    <x v="1"/>
    <s v="Credit Card"/>
    <n v="3.4"/>
  </r>
  <r>
    <s v="C0213"/>
    <s v="Divya Reddy"/>
    <s v="Tablet"/>
    <x v="0"/>
    <n v="5"/>
    <n v="41937"/>
    <x v="212"/>
    <x v="6"/>
    <x v="6"/>
    <s v="Debit Card"/>
    <n v="4.5"/>
  </r>
  <r>
    <s v="C0214"/>
    <s v="Sneha Patel"/>
    <s v="Mobile"/>
    <x v="0"/>
    <n v="2"/>
    <n v="25538"/>
    <x v="213"/>
    <x v="90"/>
    <x v="4"/>
    <s v="Net Banking"/>
    <n v="3.8"/>
  </r>
  <r>
    <s v="C0215"/>
    <s v="Diya Singh"/>
    <s v="Chair"/>
    <x v="5"/>
    <n v="4"/>
    <n v="47712"/>
    <x v="214"/>
    <x v="3"/>
    <x v="3"/>
    <s v="Net Banking"/>
    <n v="3.5"/>
  </r>
  <r>
    <s v="C0216"/>
    <s v="Ananya Kumar"/>
    <s v="Watch"/>
    <x v="1"/>
    <n v="1"/>
    <n v="9273"/>
    <x v="215"/>
    <x v="32"/>
    <x v="1"/>
    <s v="Cash on Delivery"/>
    <n v="3.1"/>
  </r>
  <r>
    <s v="C0217"/>
    <s v="Meera Patel"/>
    <s v="Tablet"/>
    <x v="0"/>
    <n v="2"/>
    <n v="13427"/>
    <x v="216"/>
    <x v="120"/>
    <x v="1"/>
    <s v="Debit Card"/>
    <n v="3.8"/>
  </r>
  <r>
    <s v="C0218"/>
    <s v="Diya Patel"/>
    <s v="Mobile"/>
    <x v="0"/>
    <n v="4"/>
    <n v="2790"/>
    <x v="217"/>
    <x v="100"/>
    <x v="3"/>
    <s v="UPI"/>
    <n v="3.2"/>
  </r>
  <r>
    <s v="C0219"/>
    <s v="Arjun Reddy"/>
    <s v="Bag"/>
    <x v="1"/>
    <n v="1"/>
    <n v="28748"/>
    <x v="218"/>
    <x v="96"/>
    <x v="0"/>
    <s v="UPI"/>
    <n v="4.5"/>
  </r>
  <r>
    <s v="C0220"/>
    <s v="Diya Patel"/>
    <s v="Laptop"/>
    <x v="0"/>
    <n v="5"/>
    <n v="31589"/>
    <x v="219"/>
    <x v="121"/>
    <x v="4"/>
    <s v="Net Banking"/>
    <n v="3.8"/>
  </r>
  <r>
    <s v="C0221"/>
    <s v="Priya Kumar"/>
    <s v="Tablet"/>
    <x v="0"/>
    <n v="3"/>
    <n v="19088"/>
    <x v="220"/>
    <x v="102"/>
    <x v="0"/>
    <s v="Credit Card"/>
    <n v="3.9"/>
  </r>
  <r>
    <s v="C0222"/>
    <s v="Vikram Sharma"/>
    <s v="Laptop"/>
    <x v="0"/>
    <n v="5"/>
    <n v="47946"/>
    <x v="221"/>
    <x v="109"/>
    <x v="4"/>
    <s v="Credit Card"/>
    <n v="3.7"/>
  </r>
  <r>
    <s v="C0223"/>
    <s v="Kiran Sharma"/>
    <s v="T-Shirt"/>
    <x v="2"/>
    <n v="2"/>
    <n v="29058"/>
    <x v="222"/>
    <x v="118"/>
    <x v="5"/>
    <s v="Cash on Delivery"/>
    <n v="4.8"/>
  </r>
  <r>
    <s v="C0224"/>
    <s v="Pooja Reddy"/>
    <s v="Mobile"/>
    <x v="0"/>
    <n v="3"/>
    <n v="32644"/>
    <x v="223"/>
    <x v="122"/>
    <x v="2"/>
    <s v="Credit Card"/>
    <n v="3.6"/>
  </r>
  <r>
    <s v="C0225"/>
    <s v="Diya Singh"/>
    <s v="Keyboard"/>
    <x v="0"/>
    <n v="3"/>
    <n v="10202"/>
    <x v="224"/>
    <x v="121"/>
    <x v="4"/>
    <s v="Net Banking"/>
    <n v="3.4"/>
  </r>
  <r>
    <s v="C0226"/>
    <s v="Kiran Singh"/>
    <s v="Book"/>
    <x v="3"/>
    <n v="4"/>
    <n v="32036"/>
    <x v="225"/>
    <x v="66"/>
    <x v="3"/>
    <s v="Cash on Delivery"/>
    <n v="4.5"/>
  </r>
  <r>
    <s v="C0227"/>
    <s v="Pooja Reddy"/>
    <s v="Watch"/>
    <x v="1"/>
    <n v="5"/>
    <n v="39237"/>
    <x v="226"/>
    <x v="66"/>
    <x v="4"/>
    <s v="Net Banking"/>
    <n v="3.1"/>
  </r>
  <r>
    <s v="C0228"/>
    <s v="Ananya Sharma"/>
    <s v="Bag"/>
    <x v="1"/>
    <n v="1"/>
    <n v="45886"/>
    <x v="227"/>
    <x v="123"/>
    <x v="5"/>
    <s v="Debit Card"/>
    <n v="4.9000000000000004"/>
  </r>
  <r>
    <s v="C0229"/>
    <s v="Sneha Patel"/>
    <s v="Watch"/>
    <x v="1"/>
    <n v="3"/>
    <n v="19520"/>
    <x v="228"/>
    <x v="106"/>
    <x v="3"/>
    <s v="UPI"/>
    <n v="4.9000000000000004"/>
  </r>
  <r>
    <s v="C0230"/>
    <s v="Ananya Singh"/>
    <s v="Tablet"/>
    <x v="0"/>
    <n v="5"/>
    <n v="12806"/>
    <x v="229"/>
    <x v="81"/>
    <x v="5"/>
    <s v="UPI"/>
    <n v="4.5"/>
  </r>
  <r>
    <s v="C0231"/>
    <s v="Aisha Sharma"/>
    <s v="Headphones"/>
    <x v="0"/>
    <n v="4"/>
    <n v="14880"/>
    <x v="230"/>
    <x v="29"/>
    <x v="5"/>
    <s v="Debit Card"/>
    <n v="3.7"/>
  </r>
  <r>
    <s v="C0232"/>
    <s v="Kavya Singh"/>
    <s v="Headphones"/>
    <x v="0"/>
    <n v="3"/>
    <n v="43988"/>
    <x v="231"/>
    <x v="122"/>
    <x v="6"/>
    <s v="Net Banking"/>
    <n v="4.2"/>
  </r>
  <r>
    <s v="C0233"/>
    <s v="Aisha Reddy"/>
    <s v="Headphones"/>
    <x v="0"/>
    <n v="2"/>
    <n v="32961"/>
    <x v="232"/>
    <x v="72"/>
    <x v="1"/>
    <s v="Cash on Delivery"/>
    <n v="3.2"/>
  </r>
  <r>
    <s v="C0234"/>
    <s v="Meera Sharma"/>
    <s v="Keyboard"/>
    <x v="0"/>
    <n v="3"/>
    <n v="36170"/>
    <x v="233"/>
    <x v="123"/>
    <x v="3"/>
    <s v="UPI"/>
    <n v="3.1"/>
  </r>
  <r>
    <s v="C0235"/>
    <s v="Nisha Reddy"/>
    <s v="Book"/>
    <x v="3"/>
    <n v="1"/>
    <n v="30600"/>
    <x v="234"/>
    <x v="35"/>
    <x v="0"/>
    <s v="Credit Card"/>
    <n v="4.4000000000000004"/>
  </r>
  <r>
    <s v="C0236"/>
    <s v="Riya Kumar"/>
    <s v="Headphones"/>
    <x v="0"/>
    <n v="3"/>
    <n v="12065"/>
    <x v="235"/>
    <x v="124"/>
    <x v="3"/>
    <s v="UPI"/>
    <n v="3.8"/>
  </r>
  <r>
    <s v="C0237"/>
    <s v="Priya Kumar"/>
    <s v="T-Shirt"/>
    <x v="2"/>
    <n v="2"/>
    <n v="2041"/>
    <x v="236"/>
    <x v="118"/>
    <x v="6"/>
    <s v="UPI"/>
    <n v="4.7"/>
  </r>
  <r>
    <s v="C0238"/>
    <s v="Meera Patel"/>
    <s v="Chair"/>
    <x v="5"/>
    <n v="1"/>
    <n v="36197"/>
    <x v="237"/>
    <x v="57"/>
    <x v="4"/>
    <s v="Cash on Delivery"/>
    <n v="4.4000000000000004"/>
  </r>
  <r>
    <s v="C0239"/>
    <s v="Priya Reddy"/>
    <s v="T-Shirt"/>
    <x v="2"/>
    <n v="3"/>
    <n v="48210"/>
    <x v="238"/>
    <x v="71"/>
    <x v="6"/>
    <s v="Cash on Delivery"/>
    <n v="4.8"/>
  </r>
  <r>
    <s v="C0240"/>
    <s v="Lakshmi Reddy"/>
    <s v="Book"/>
    <x v="3"/>
    <n v="5"/>
    <n v="29207"/>
    <x v="239"/>
    <x v="125"/>
    <x v="0"/>
    <s v="Debit Card"/>
    <n v="4.4000000000000004"/>
  </r>
  <r>
    <s v="C0241"/>
    <s v="Kavya Singh"/>
    <s v="T-Shirt"/>
    <x v="2"/>
    <n v="2"/>
    <n v="7128"/>
    <x v="240"/>
    <x v="32"/>
    <x v="5"/>
    <s v="Debit Card"/>
    <n v="4.4000000000000004"/>
  </r>
  <r>
    <s v="C0242"/>
    <s v="Kavya Patel"/>
    <s v="Mixer"/>
    <x v="4"/>
    <n v="2"/>
    <n v="48276"/>
    <x v="241"/>
    <x v="126"/>
    <x v="1"/>
    <s v="Credit Card"/>
    <n v="3.7"/>
  </r>
  <r>
    <s v="C0243"/>
    <s v="Nisha Singh"/>
    <s v="Laptop"/>
    <x v="0"/>
    <n v="2"/>
    <n v="46096"/>
    <x v="242"/>
    <x v="110"/>
    <x v="6"/>
    <s v="Cash on Delivery"/>
    <n v="3.9"/>
  </r>
  <r>
    <s v="C0244"/>
    <s v="Ananya Reddy"/>
    <s v="T-Shirt"/>
    <x v="2"/>
    <n v="5"/>
    <n v="14195"/>
    <x v="243"/>
    <x v="80"/>
    <x v="4"/>
    <s v="Credit Card"/>
    <n v="3.9"/>
  </r>
  <r>
    <s v="C0245"/>
    <s v="Meera Sharma"/>
    <s v="Shoes"/>
    <x v="2"/>
    <n v="3"/>
    <n v="387"/>
    <x v="244"/>
    <x v="85"/>
    <x v="2"/>
    <s v="UPI"/>
    <n v="3.8"/>
  </r>
  <r>
    <s v="C0246"/>
    <s v="Suresh Patel"/>
    <s v="Laptop"/>
    <x v="0"/>
    <n v="2"/>
    <n v="9560"/>
    <x v="245"/>
    <x v="127"/>
    <x v="3"/>
    <s v="Credit Card"/>
    <n v="3.2"/>
  </r>
  <r>
    <s v="C0247"/>
    <s v="Nisha Singh"/>
    <s v="Book"/>
    <x v="3"/>
    <n v="3"/>
    <n v="38090"/>
    <x v="246"/>
    <x v="128"/>
    <x v="5"/>
    <s v="Cash on Delivery"/>
    <n v="3.6"/>
  </r>
  <r>
    <s v="C0248"/>
    <s v="Diya Kumar"/>
    <s v="Mobile"/>
    <x v="0"/>
    <n v="5"/>
    <n v="29285"/>
    <x v="247"/>
    <x v="129"/>
    <x v="0"/>
    <s v="UPI"/>
    <n v="4.3"/>
  </r>
  <r>
    <s v="C0249"/>
    <s v="Sneha Kumar"/>
    <s v="Chair"/>
    <x v="5"/>
    <n v="3"/>
    <n v="13008"/>
    <x v="248"/>
    <x v="120"/>
    <x v="5"/>
    <s v="Debit Card"/>
    <n v="4.5999999999999996"/>
  </r>
  <r>
    <s v="C0250"/>
    <s v="Aisha Reddy"/>
    <s v="Book"/>
    <x v="3"/>
    <n v="4"/>
    <n v="16354"/>
    <x v="249"/>
    <x v="107"/>
    <x v="1"/>
    <s v="Cash on Delivery"/>
    <n v="4.5999999999999996"/>
  </r>
  <r>
    <s v="C0251"/>
    <s v="Lakshmi Singh"/>
    <s v="Tablet"/>
    <x v="0"/>
    <n v="4"/>
    <n v="36313"/>
    <x v="250"/>
    <x v="126"/>
    <x v="4"/>
    <s v="Debit Card"/>
    <n v="3.9"/>
  </r>
  <r>
    <s v="C0252"/>
    <s v="Aisha Sharma"/>
    <s v="Headphones"/>
    <x v="0"/>
    <n v="3"/>
    <n v="29388"/>
    <x v="251"/>
    <x v="37"/>
    <x v="3"/>
    <s v="Debit Card"/>
    <n v="4.2"/>
  </r>
  <r>
    <s v="C0253"/>
    <s v="Riya Singh"/>
    <s v="Headphones"/>
    <x v="0"/>
    <n v="1"/>
    <n v="31529"/>
    <x v="252"/>
    <x v="130"/>
    <x v="6"/>
    <s v="Net Banking"/>
    <n v="3.2"/>
  </r>
  <r>
    <s v="C0254"/>
    <s v="Diya Reddy"/>
    <s v="Headphones"/>
    <x v="0"/>
    <n v="5"/>
    <n v="48814"/>
    <x v="253"/>
    <x v="33"/>
    <x v="5"/>
    <s v="Net Banking"/>
    <n v="3.1"/>
  </r>
  <r>
    <s v="C0255"/>
    <s v="Vikram Patel"/>
    <s v="Headphones"/>
    <x v="0"/>
    <n v="5"/>
    <n v="26029"/>
    <x v="254"/>
    <x v="14"/>
    <x v="2"/>
    <s v="UPI"/>
    <n v="4.3"/>
  </r>
  <r>
    <s v="C0256"/>
    <s v="Aisha Reddy"/>
    <s v="Watch"/>
    <x v="1"/>
    <n v="5"/>
    <n v="21156"/>
    <x v="255"/>
    <x v="15"/>
    <x v="6"/>
    <s v="Net Banking"/>
    <n v="3.8"/>
  </r>
  <r>
    <s v="C0257"/>
    <s v="Kavya Sharma"/>
    <s v="Laptop"/>
    <x v="0"/>
    <n v="3"/>
    <n v="27909"/>
    <x v="256"/>
    <x v="131"/>
    <x v="3"/>
    <s v="Debit Card"/>
    <n v="4.4000000000000004"/>
  </r>
  <r>
    <s v="C0258"/>
    <s v="Nisha Singh"/>
    <s v="Laptop"/>
    <x v="0"/>
    <n v="5"/>
    <n v="17700"/>
    <x v="257"/>
    <x v="24"/>
    <x v="4"/>
    <s v="Net Banking"/>
    <n v="4.9000000000000004"/>
  </r>
  <r>
    <s v="C0259"/>
    <s v="Diya Patel"/>
    <s v="Tablet"/>
    <x v="0"/>
    <n v="3"/>
    <n v="38204"/>
    <x v="258"/>
    <x v="77"/>
    <x v="1"/>
    <s v="Debit Card"/>
    <n v="3.7"/>
  </r>
  <r>
    <s v="C0260"/>
    <s v="Priya Reddy"/>
    <s v="Laptop"/>
    <x v="0"/>
    <n v="5"/>
    <n v="26000"/>
    <x v="259"/>
    <x v="100"/>
    <x v="6"/>
    <s v="UPI"/>
    <n v="3"/>
  </r>
  <r>
    <s v="C0261"/>
    <s v="Sneha Patel"/>
    <s v="Laptop"/>
    <x v="0"/>
    <n v="2"/>
    <n v="13285"/>
    <x v="260"/>
    <x v="98"/>
    <x v="6"/>
    <s v="UPI"/>
    <n v="3.6"/>
  </r>
  <r>
    <s v="C0262"/>
    <s v="Neha Patel"/>
    <s v="Mixer"/>
    <x v="4"/>
    <n v="1"/>
    <n v="31504"/>
    <x v="261"/>
    <x v="132"/>
    <x v="2"/>
    <s v="Cash on Delivery"/>
    <n v="4.0999999999999996"/>
  </r>
  <r>
    <s v="C0263"/>
    <s v="Diya Reddy"/>
    <s v="Tablet"/>
    <x v="0"/>
    <n v="1"/>
    <n v="22134"/>
    <x v="262"/>
    <x v="76"/>
    <x v="1"/>
    <s v="Credit Card"/>
    <n v="4"/>
  </r>
  <r>
    <s v="C0264"/>
    <s v="Arjun Reddy"/>
    <s v="Mixer"/>
    <x v="4"/>
    <n v="2"/>
    <n v="33562"/>
    <x v="263"/>
    <x v="133"/>
    <x v="1"/>
    <s v="Cash on Delivery"/>
    <n v="3.4"/>
  </r>
  <r>
    <s v="C0265"/>
    <s v="Suresh Singh"/>
    <s v="Headphones"/>
    <x v="0"/>
    <n v="4"/>
    <n v="34053"/>
    <x v="264"/>
    <x v="134"/>
    <x v="2"/>
    <s v="Net Banking"/>
    <n v="4.9000000000000004"/>
  </r>
  <r>
    <s v="C0266"/>
    <s v="Rahul Singh"/>
    <s v="Chair"/>
    <x v="5"/>
    <n v="4"/>
    <n v="21055"/>
    <x v="265"/>
    <x v="135"/>
    <x v="5"/>
    <s v="UPI"/>
    <n v="3.5"/>
  </r>
  <r>
    <s v="C0267"/>
    <s v="Neha Singh"/>
    <s v="Book"/>
    <x v="3"/>
    <n v="1"/>
    <n v="36765"/>
    <x v="266"/>
    <x v="136"/>
    <x v="5"/>
    <s v="Net Banking"/>
    <n v="3.9"/>
  </r>
  <r>
    <s v="C0268"/>
    <s v="Neha Kumar"/>
    <s v="Shoes"/>
    <x v="2"/>
    <n v="2"/>
    <n v="27580"/>
    <x v="267"/>
    <x v="84"/>
    <x v="1"/>
    <s v="Net Banking"/>
    <n v="4.0999999999999996"/>
  </r>
  <r>
    <s v="C0269"/>
    <s v="Lakshmi Sharma"/>
    <s v="T-Shirt"/>
    <x v="2"/>
    <n v="4"/>
    <n v="2459"/>
    <x v="268"/>
    <x v="136"/>
    <x v="5"/>
    <s v="UPI"/>
    <n v="3.1"/>
  </r>
  <r>
    <s v="C0270"/>
    <s v="Kavya Patel"/>
    <s v="Chair"/>
    <x v="5"/>
    <n v="1"/>
    <n v="5720"/>
    <x v="269"/>
    <x v="137"/>
    <x v="0"/>
    <s v="UPI"/>
    <n v="3.5"/>
  </r>
  <r>
    <s v="C0271"/>
    <s v="Divya Reddy"/>
    <s v="Headphones"/>
    <x v="0"/>
    <n v="3"/>
    <n v="34814"/>
    <x v="270"/>
    <x v="129"/>
    <x v="4"/>
    <s v="Net Banking"/>
    <n v="3.2"/>
  </r>
  <r>
    <s v="C0272"/>
    <s v="Sneha Singh"/>
    <s v="Mobile"/>
    <x v="0"/>
    <n v="3"/>
    <n v="32975"/>
    <x v="271"/>
    <x v="138"/>
    <x v="0"/>
    <s v="Cash on Delivery"/>
    <n v="4.7"/>
  </r>
  <r>
    <s v="C0273"/>
    <s v="Rahul Singh"/>
    <s v="Book"/>
    <x v="3"/>
    <n v="5"/>
    <n v="28326"/>
    <x v="272"/>
    <x v="104"/>
    <x v="6"/>
    <s v="Debit Card"/>
    <n v="4"/>
  </r>
  <r>
    <s v="C0274"/>
    <s v="Rohit Reddy"/>
    <s v="Laptop"/>
    <x v="0"/>
    <n v="3"/>
    <n v="9135"/>
    <x v="273"/>
    <x v="43"/>
    <x v="5"/>
    <s v="UPI"/>
    <n v="4.4000000000000004"/>
  </r>
  <r>
    <s v="C0275"/>
    <s v="Lakshmi Kumar"/>
    <s v="T-Shirt"/>
    <x v="2"/>
    <n v="2"/>
    <n v="669"/>
    <x v="274"/>
    <x v="139"/>
    <x v="5"/>
    <s v="UPI"/>
    <n v="4"/>
  </r>
  <r>
    <s v="C0276"/>
    <s v="Meera Reddy"/>
    <s v="Shoes"/>
    <x v="2"/>
    <n v="2"/>
    <n v="11618"/>
    <x v="275"/>
    <x v="47"/>
    <x v="4"/>
    <s v="Cash on Delivery"/>
    <n v="4.8"/>
  </r>
  <r>
    <s v="C0277"/>
    <s v="Vikram Singh"/>
    <s v="Headphones"/>
    <x v="0"/>
    <n v="5"/>
    <n v="25241"/>
    <x v="276"/>
    <x v="9"/>
    <x v="3"/>
    <s v="Net Banking"/>
    <n v="3.5"/>
  </r>
  <r>
    <s v="C0278"/>
    <s v="Vikram Reddy"/>
    <s v="Headphones"/>
    <x v="0"/>
    <n v="5"/>
    <n v="16532"/>
    <x v="277"/>
    <x v="140"/>
    <x v="4"/>
    <s v="UPI"/>
    <n v="3.2"/>
  </r>
  <r>
    <s v="C0279"/>
    <s v="Neha Patel"/>
    <s v="Mobile"/>
    <x v="0"/>
    <n v="1"/>
    <n v="26513"/>
    <x v="278"/>
    <x v="88"/>
    <x v="3"/>
    <s v="Net Banking"/>
    <n v="4.4000000000000004"/>
  </r>
  <r>
    <s v="C0280"/>
    <s v="Lakshmi Singh"/>
    <s v="Bag"/>
    <x v="1"/>
    <n v="3"/>
    <n v="26326"/>
    <x v="279"/>
    <x v="91"/>
    <x v="4"/>
    <s v="UPI"/>
    <n v="5"/>
  </r>
  <r>
    <s v="C0281"/>
    <s v="Sneha Singh"/>
    <s v="T-Shirt"/>
    <x v="2"/>
    <n v="2"/>
    <n v="1361"/>
    <x v="280"/>
    <x v="51"/>
    <x v="1"/>
    <s v="Credit Card"/>
    <n v="4.5999999999999996"/>
  </r>
  <r>
    <s v="C0282"/>
    <s v="Kiran Patel"/>
    <s v="Mobile"/>
    <x v="0"/>
    <n v="4"/>
    <n v="49108"/>
    <x v="281"/>
    <x v="6"/>
    <x v="1"/>
    <s v="Debit Card"/>
    <n v="3.5"/>
  </r>
  <r>
    <s v="C0283"/>
    <s v="Kiran Sharma"/>
    <s v="Headphones"/>
    <x v="0"/>
    <n v="5"/>
    <n v="42221"/>
    <x v="282"/>
    <x v="92"/>
    <x v="6"/>
    <s v="Net Banking"/>
    <n v="4.2"/>
  </r>
  <r>
    <s v="C0284"/>
    <s v="Meera Kumar"/>
    <s v="Tablet"/>
    <x v="0"/>
    <n v="5"/>
    <n v="45804"/>
    <x v="283"/>
    <x v="73"/>
    <x v="4"/>
    <s v="Debit Card"/>
    <n v="3.8"/>
  </r>
  <r>
    <s v="C0285"/>
    <s v="Rohit Kumar"/>
    <s v="Keyboard"/>
    <x v="0"/>
    <n v="1"/>
    <n v="37918"/>
    <x v="284"/>
    <x v="87"/>
    <x v="3"/>
    <s v="Credit Card"/>
    <n v="4.5999999999999996"/>
  </r>
  <r>
    <s v="C0286"/>
    <s v="Ananya Singh"/>
    <s v="Headphones"/>
    <x v="0"/>
    <n v="1"/>
    <n v="45119"/>
    <x v="285"/>
    <x v="20"/>
    <x v="5"/>
    <s v="Cash on Delivery"/>
    <n v="4.9000000000000004"/>
  </r>
  <r>
    <s v="C0287"/>
    <s v="Priya Sharma"/>
    <s v="Mixer"/>
    <x v="4"/>
    <n v="3"/>
    <n v="17833"/>
    <x v="286"/>
    <x v="135"/>
    <x v="2"/>
    <s v="UPI"/>
    <n v="4.3"/>
  </r>
  <r>
    <s v="C0288"/>
    <s v="Kiran Singh"/>
    <s v="Mobile"/>
    <x v="0"/>
    <n v="3"/>
    <n v="2023"/>
    <x v="287"/>
    <x v="21"/>
    <x v="4"/>
    <s v="UPI"/>
    <n v="4.2"/>
  </r>
  <r>
    <s v="C0289"/>
    <s v="Sneha Kumar"/>
    <s v="Laptop"/>
    <x v="0"/>
    <n v="5"/>
    <n v="49968"/>
    <x v="288"/>
    <x v="141"/>
    <x v="1"/>
    <s v="UPI"/>
    <n v="3.8"/>
  </r>
  <r>
    <s v="C0290"/>
    <s v="Kavya Reddy"/>
    <s v="T-Shirt"/>
    <x v="2"/>
    <n v="2"/>
    <n v="17863"/>
    <x v="289"/>
    <x v="119"/>
    <x v="3"/>
    <s v="Net Banking"/>
    <n v="3.9"/>
  </r>
  <r>
    <s v="C0291"/>
    <s v="Sneha Kumar"/>
    <s v="Headphones"/>
    <x v="0"/>
    <n v="2"/>
    <n v="5986"/>
    <x v="290"/>
    <x v="10"/>
    <x v="5"/>
    <s v="Debit Card"/>
    <n v="3.6"/>
  </r>
  <r>
    <s v="C0292"/>
    <s v="Lakshmi Reddy"/>
    <s v="Mobile"/>
    <x v="0"/>
    <n v="5"/>
    <n v="19562"/>
    <x v="291"/>
    <x v="10"/>
    <x v="5"/>
    <s v="Net Banking"/>
    <n v="3.8"/>
  </r>
  <r>
    <s v="C0293"/>
    <s v="Vikram Singh"/>
    <s v="Mixer"/>
    <x v="4"/>
    <n v="4"/>
    <n v="46700"/>
    <x v="292"/>
    <x v="25"/>
    <x v="1"/>
    <s v="Net Banking"/>
    <n v="4.4000000000000004"/>
  </r>
  <r>
    <s v="C0294"/>
    <s v="Divya Kumar"/>
    <s v="T-Shirt"/>
    <x v="2"/>
    <n v="5"/>
    <n v="7111"/>
    <x v="293"/>
    <x v="10"/>
    <x v="6"/>
    <s v="Debit Card"/>
    <n v="3.9"/>
  </r>
  <r>
    <s v="C0295"/>
    <s v="Sneha Kumar"/>
    <s v="Mobile"/>
    <x v="0"/>
    <n v="5"/>
    <n v="41852"/>
    <x v="294"/>
    <x v="114"/>
    <x v="5"/>
    <s v="Net Banking"/>
    <n v="4"/>
  </r>
  <r>
    <s v="C0296"/>
    <s v="Diya Reddy"/>
    <s v="Laptop"/>
    <x v="0"/>
    <n v="1"/>
    <n v="37924"/>
    <x v="295"/>
    <x v="90"/>
    <x v="1"/>
    <s v="Net Banking"/>
    <n v="4.8"/>
  </r>
  <r>
    <s v="C0297"/>
    <s v="Diya Singh"/>
    <s v="Chair"/>
    <x v="5"/>
    <n v="5"/>
    <n v="5546"/>
    <x v="296"/>
    <x v="4"/>
    <x v="6"/>
    <s v="Debit Card"/>
    <n v="4.2"/>
  </r>
  <r>
    <s v="C0298"/>
    <s v="Vikram Patel"/>
    <s v="Keyboard"/>
    <x v="0"/>
    <n v="1"/>
    <n v="4217"/>
    <x v="297"/>
    <x v="76"/>
    <x v="2"/>
    <s v="Net Banking"/>
    <n v="4.5999999999999996"/>
  </r>
  <r>
    <s v="C0299"/>
    <s v="Priya Sharma"/>
    <s v="Shoes"/>
    <x v="2"/>
    <n v="5"/>
    <n v="18998"/>
    <x v="298"/>
    <x v="69"/>
    <x v="3"/>
    <s v="Debit Card"/>
    <n v="3.4"/>
  </r>
  <r>
    <s v="C0300"/>
    <s v="Aisha Sharma"/>
    <s v="Headphones"/>
    <x v="0"/>
    <n v="1"/>
    <n v="49639"/>
    <x v="299"/>
    <x v="142"/>
    <x v="4"/>
    <s v="Debit Card"/>
    <n v="3.1"/>
  </r>
  <r>
    <s v="C0301"/>
    <s v="Arjun Patel"/>
    <s v="Bag"/>
    <x v="1"/>
    <n v="3"/>
    <n v="1890"/>
    <x v="300"/>
    <x v="75"/>
    <x v="3"/>
    <s v="Debit Card"/>
    <n v="3.5"/>
  </r>
  <r>
    <s v="C0302"/>
    <s v="Kiran Patel"/>
    <s v="Bag"/>
    <x v="1"/>
    <n v="1"/>
    <n v="5872"/>
    <x v="301"/>
    <x v="35"/>
    <x v="4"/>
    <s v="Cash on Delivery"/>
    <n v="4.9000000000000004"/>
  </r>
  <r>
    <s v="C0303"/>
    <s v="Aarav Sharma"/>
    <s v="Tablet"/>
    <x v="0"/>
    <n v="3"/>
    <n v="7996"/>
    <x v="302"/>
    <x v="143"/>
    <x v="0"/>
    <s v="UPI"/>
    <n v="4.3"/>
  </r>
  <r>
    <s v="C0304"/>
    <s v="Diya Singh"/>
    <s v="Mixer"/>
    <x v="4"/>
    <n v="3"/>
    <n v="46591"/>
    <x v="303"/>
    <x v="103"/>
    <x v="1"/>
    <s v="Cash on Delivery"/>
    <n v="4.8"/>
  </r>
  <r>
    <s v="C0305"/>
    <s v="Diya Reddy"/>
    <s v="T-Shirt"/>
    <x v="2"/>
    <n v="3"/>
    <n v="16701"/>
    <x v="304"/>
    <x v="83"/>
    <x v="1"/>
    <s v="UPI"/>
    <n v="4.3"/>
  </r>
  <r>
    <s v="C0306"/>
    <s v="Meera Kumar"/>
    <s v="Book"/>
    <x v="3"/>
    <n v="5"/>
    <n v="26961"/>
    <x v="305"/>
    <x v="21"/>
    <x v="0"/>
    <s v="Credit Card"/>
    <n v="3.1"/>
  </r>
  <r>
    <s v="C0307"/>
    <s v="Vikram Sharma"/>
    <s v="Watch"/>
    <x v="1"/>
    <n v="4"/>
    <n v="17448"/>
    <x v="306"/>
    <x v="94"/>
    <x v="0"/>
    <s v="UPI"/>
    <n v="3.9"/>
  </r>
  <r>
    <s v="C0308"/>
    <s v="Nisha Kumar"/>
    <s v="Book"/>
    <x v="3"/>
    <n v="5"/>
    <n v="14352"/>
    <x v="307"/>
    <x v="103"/>
    <x v="6"/>
    <s v="Debit Card"/>
    <n v="4.5999999999999996"/>
  </r>
  <r>
    <s v="C0309"/>
    <s v="Meera Kumar"/>
    <s v="Chair"/>
    <x v="5"/>
    <n v="1"/>
    <n v="9555"/>
    <x v="308"/>
    <x v="106"/>
    <x v="1"/>
    <s v="Credit Card"/>
    <n v="4.5"/>
  </r>
  <r>
    <s v="C0310"/>
    <s v="Aisha Reddy"/>
    <s v="Laptop"/>
    <x v="0"/>
    <n v="4"/>
    <n v="36623"/>
    <x v="309"/>
    <x v="66"/>
    <x v="1"/>
    <s v="Net Banking"/>
    <n v="4.9000000000000004"/>
  </r>
  <r>
    <s v="C0311"/>
    <s v="Vikram Reddy"/>
    <s v="Laptop"/>
    <x v="0"/>
    <n v="5"/>
    <n v="38562"/>
    <x v="310"/>
    <x v="0"/>
    <x v="5"/>
    <s v="Debit Card"/>
    <n v="4.4000000000000004"/>
  </r>
  <r>
    <s v="C0312"/>
    <s v="Ananya Kumar"/>
    <s v="Laptop"/>
    <x v="0"/>
    <n v="4"/>
    <n v="41809"/>
    <x v="311"/>
    <x v="74"/>
    <x v="0"/>
    <s v="Credit Card"/>
    <n v="4.5"/>
  </r>
  <r>
    <s v="C0313"/>
    <s v="Riya Singh"/>
    <s v="Bag"/>
    <x v="1"/>
    <n v="4"/>
    <n v="22486"/>
    <x v="312"/>
    <x v="99"/>
    <x v="6"/>
    <s v="Credit Card"/>
    <n v="4.0999999999999996"/>
  </r>
  <r>
    <s v="C0314"/>
    <s v="Suresh Kumar"/>
    <s v="Book"/>
    <x v="3"/>
    <n v="3"/>
    <n v="22179"/>
    <x v="313"/>
    <x v="104"/>
    <x v="6"/>
    <s v="Credit Card"/>
    <n v="4.9000000000000004"/>
  </r>
  <r>
    <s v="C0315"/>
    <s v="Diya Patel"/>
    <s v="Keyboard"/>
    <x v="0"/>
    <n v="4"/>
    <n v="11275"/>
    <x v="314"/>
    <x v="2"/>
    <x v="5"/>
    <s v="Credit Card"/>
    <n v="3.6"/>
  </r>
  <r>
    <s v="C0316"/>
    <s v="Suresh Kumar"/>
    <s v="Headphones"/>
    <x v="0"/>
    <n v="3"/>
    <n v="18810"/>
    <x v="315"/>
    <x v="71"/>
    <x v="2"/>
    <s v="UPI"/>
    <n v="5"/>
  </r>
  <r>
    <s v="C0317"/>
    <s v="Suresh Kumar"/>
    <s v="Bag"/>
    <x v="1"/>
    <n v="2"/>
    <n v="17816"/>
    <x v="316"/>
    <x v="144"/>
    <x v="1"/>
    <s v="Net Banking"/>
    <n v="4.0999999999999996"/>
  </r>
  <r>
    <s v="C0318"/>
    <s v="Lakshmi Sharma"/>
    <s v="Headphones"/>
    <x v="0"/>
    <n v="1"/>
    <n v="16089"/>
    <x v="317"/>
    <x v="102"/>
    <x v="0"/>
    <s v="Net Banking"/>
    <n v="3.6"/>
  </r>
  <r>
    <s v="C0319"/>
    <s v="Diya Reddy"/>
    <s v="Shoes"/>
    <x v="2"/>
    <n v="3"/>
    <n v="40780"/>
    <x v="318"/>
    <x v="90"/>
    <x v="2"/>
    <s v="Credit Card"/>
    <n v="3.8"/>
  </r>
  <r>
    <s v="C0320"/>
    <s v="Nisha Reddy"/>
    <s v="Headphones"/>
    <x v="0"/>
    <n v="1"/>
    <n v="19006"/>
    <x v="319"/>
    <x v="145"/>
    <x v="6"/>
    <s v="Debit Card"/>
    <n v="5"/>
  </r>
  <r>
    <s v="C0321"/>
    <s v="Suresh Reddy"/>
    <s v="Shoes"/>
    <x v="2"/>
    <n v="3"/>
    <n v="45126"/>
    <x v="320"/>
    <x v="92"/>
    <x v="6"/>
    <s v="Credit Card"/>
    <n v="3.2"/>
  </r>
  <r>
    <s v="C0322"/>
    <s v="Pooja Kumar"/>
    <s v="Mobile"/>
    <x v="0"/>
    <n v="3"/>
    <n v="9313"/>
    <x v="321"/>
    <x v="146"/>
    <x v="2"/>
    <s v="UPI"/>
    <n v="3.8"/>
  </r>
  <r>
    <s v="C0323"/>
    <s v="Divya Patel"/>
    <s v="T-Shirt"/>
    <x v="2"/>
    <n v="4"/>
    <n v="7313"/>
    <x v="322"/>
    <x v="111"/>
    <x v="0"/>
    <s v="UPI"/>
    <n v="4.0999999999999996"/>
  </r>
  <r>
    <s v="C0324"/>
    <s v="Pooja Reddy"/>
    <s v="Mixer"/>
    <x v="4"/>
    <n v="5"/>
    <n v="14042"/>
    <x v="323"/>
    <x v="123"/>
    <x v="0"/>
    <s v="UPI"/>
    <n v="3.7"/>
  </r>
  <r>
    <s v="C0325"/>
    <s v="Riya Kumar"/>
    <s v="Headphones"/>
    <x v="0"/>
    <n v="3"/>
    <n v="24395"/>
    <x v="324"/>
    <x v="89"/>
    <x v="6"/>
    <s v="UPI"/>
    <n v="3.9"/>
  </r>
  <r>
    <s v="C0326"/>
    <s v="Meera Singh"/>
    <s v="Tablet"/>
    <x v="0"/>
    <n v="1"/>
    <n v="36570"/>
    <x v="325"/>
    <x v="5"/>
    <x v="6"/>
    <s v="Debit Card"/>
    <n v="4.9000000000000004"/>
  </r>
  <r>
    <s v="C0327"/>
    <s v="Divya Patel"/>
    <s v="Headphones"/>
    <x v="0"/>
    <n v="5"/>
    <n v="6843"/>
    <x v="326"/>
    <x v="112"/>
    <x v="5"/>
    <s v="Debit Card"/>
    <n v="4"/>
  </r>
  <r>
    <s v="C0328"/>
    <s v="Suresh Singh"/>
    <s v="Chair"/>
    <x v="5"/>
    <n v="3"/>
    <n v="5228"/>
    <x v="327"/>
    <x v="147"/>
    <x v="6"/>
    <s v="UPI"/>
    <n v="3.8"/>
  </r>
  <r>
    <s v="C0329"/>
    <s v="Nisha Kumar"/>
    <s v="Mobile"/>
    <x v="0"/>
    <n v="1"/>
    <n v="49557"/>
    <x v="328"/>
    <x v="125"/>
    <x v="5"/>
    <s v="UPI"/>
    <n v="4.8"/>
  </r>
  <r>
    <s v="C0330"/>
    <s v="Priya Kumar"/>
    <s v="Mobile"/>
    <x v="0"/>
    <n v="4"/>
    <n v="24124"/>
    <x v="329"/>
    <x v="138"/>
    <x v="0"/>
    <s v="Credit Card"/>
    <n v="3.1"/>
  </r>
  <r>
    <s v="C0331"/>
    <s v="Divya Sharma"/>
    <s v="Shoes"/>
    <x v="2"/>
    <n v="3"/>
    <n v="33649"/>
    <x v="330"/>
    <x v="131"/>
    <x v="0"/>
    <s v="Net Banking"/>
    <n v="3.6"/>
  </r>
  <r>
    <s v="C0332"/>
    <s v="Nisha Kumar"/>
    <s v="Book"/>
    <x v="3"/>
    <n v="3"/>
    <n v="28834"/>
    <x v="331"/>
    <x v="20"/>
    <x v="0"/>
    <s v="Net Banking"/>
    <n v="3.9"/>
  </r>
  <r>
    <s v="C0333"/>
    <s v="Neha Reddy"/>
    <s v="Book"/>
    <x v="3"/>
    <n v="2"/>
    <n v="7948"/>
    <x v="332"/>
    <x v="57"/>
    <x v="1"/>
    <s v="Debit Card"/>
    <n v="3.9"/>
  </r>
  <r>
    <s v="C0334"/>
    <s v="Aisha Reddy"/>
    <s v="Shoes"/>
    <x v="2"/>
    <n v="4"/>
    <n v="36390"/>
    <x v="333"/>
    <x v="95"/>
    <x v="1"/>
    <s v="Cash on Delivery"/>
    <n v="3.3"/>
  </r>
  <r>
    <s v="C0335"/>
    <s v="Lakshmi Singh"/>
    <s v="T-Shirt"/>
    <x v="2"/>
    <n v="5"/>
    <n v="12884"/>
    <x v="334"/>
    <x v="148"/>
    <x v="3"/>
    <s v="Net Banking"/>
    <n v="3.7"/>
  </r>
  <r>
    <s v="C0336"/>
    <s v="Aisha Reddy"/>
    <s v="Mixer"/>
    <x v="4"/>
    <n v="2"/>
    <n v="44267"/>
    <x v="335"/>
    <x v="45"/>
    <x v="4"/>
    <s v="Cash on Delivery"/>
    <n v="4.7"/>
  </r>
  <r>
    <s v="C0337"/>
    <s v="Pooja Kumar"/>
    <s v="Watch"/>
    <x v="1"/>
    <n v="1"/>
    <n v="44442"/>
    <x v="336"/>
    <x v="26"/>
    <x v="1"/>
    <s v="Cash on Delivery"/>
    <n v="4"/>
  </r>
  <r>
    <s v="C0338"/>
    <s v="Riya Kumar"/>
    <s v="Mobile"/>
    <x v="0"/>
    <n v="5"/>
    <n v="28785"/>
    <x v="337"/>
    <x v="66"/>
    <x v="3"/>
    <s v="Credit Card"/>
    <n v="4.3"/>
  </r>
  <r>
    <s v="C0339"/>
    <s v="Diya Kumar"/>
    <s v="Mobile"/>
    <x v="0"/>
    <n v="2"/>
    <n v="45678"/>
    <x v="338"/>
    <x v="16"/>
    <x v="0"/>
    <s v="Cash on Delivery"/>
    <n v="5"/>
  </r>
  <r>
    <s v="C0340"/>
    <s v="Rahul Kumar"/>
    <s v="Mobile"/>
    <x v="0"/>
    <n v="5"/>
    <n v="11114"/>
    <x v="339"/>
    <x v="149"/>
    <x v="1"/>
    <s v="Net Banking"/>
    <n v="3.5"/>
  </r>
  <r>
    <s v="C0341"/>
    <s v="Diya Singh"/>
    <s v="Tablet"/>
    <x v="0"/>
    <n v="2"/>
    <n v="45725"/>
    <x v="340"/>
    <x v="57"/>
    <x v="2"/>
    <s v="UPI"/>
    <n v="3"/>
  </r>
  <r>
    <s v="C0342"/>
    <s v="Kavya Singh"/>
    <s v="T-Shirt"/>
    <x v="2"/>
    <n v="4"/>
    <n v="29147"/>
    <x v="341"/>
    <x v="127"/>
    <x v="0"/>
    <s v="Cash on Delivery"/>
    <n v="4.5999999999999996"/>
  </r>
  <r>
    <s v="C0343"/>
    <s v="Kavya Patel"/>
    <s v="Keyboard"/>
    <x v="0"/>
    <n v="3"/>
    <n v="43376"/>
    <x v="342"/>
    <x v="147"/>
    <x v="4"/>
    <s v="Cash on Delivery"/>
    <n v="4.2"/>
  </r>
  <r>
    <s v="C0344"/>
    <s v="Rahul Sharma"/>
    <s v="Tablet"/>
    <x v="0"/>
    <n v="5"/>
    <n v="12605"/>
    <x v="343"/>
    <x v="24"/>
    <x v="1"/>
    <s v="Net Banking"/>
    <n v="3.7"/>
  </r>
  <r>
    <s v="C0345"/>
    <s v="Priya Sharma"/>
    <s v="Laptop"/>
    <x v="0"/>
    <n v="5"/>
    <n v="8176"/>
    <x v="344"/>
    <x v="150"/>
    <x v="6"/>
    <s v="Credit Card"/>
    <n v="4.7"/>
  </r>
  <r>
    <s v="C0346"/>
    <s v="Nisha Reddy"/>
    <s v="Bag"/>
    <x v="1"/>
    <n v="3"/>
    <n v="14780"/>
    <x v="345"/>
    <x v="3"/>
    <x v="4"/>
    <s v="UPI"/>
    <n v="4.0999999999999996"/>
  </r>
  <r>
    <s v="C0347"/>
    <s v="Priya Kumar"/>
    <s v="Bag"/>
    <x v="1"/>
    <n v="1"/>
    <n v="2093"/>
    <x v="346"/>
    <x v="83"/>
    <x v="4"/>
    <s v="UPI"/>
    <n v="3.4"/>
  </r>
  <r>
    <s v="C0348"/>
    <s v="Aisha Sharma"/>
    <s v="Tablet"/>
    <x v="0"/>
    <n v="4"/>
    <n v="15890"/>
    <x v="347"/>
    <x v="78"/>
    <x v="1"/>
    <s v="Debit Card"/>
    <n v="4.5999999999999996"/>
  </r>
  <r>
    <s v="C0349"/>
    <s v="Ananya Reddy"/>
    <s v="Tablet"/>
    <x v="0"/>
    <n v="4"/>
    <n v="41114"/>
    <x v="348"/>
    <x v="108"/>
    <x v="2"/>
    <s v="Net Banking"/>
    <n v="3.4"/>
  </r>
  <r>
    <s v="C0350"/>
    <s v="Rahul Singh"/>
    <s v="Watch"/>
    <x v="1"/>
    <n v="3"/>
    <n v="26102"/>
    <x v="349"/>
    <x v="115"/>
    <x v="2"/>
    <s v="Net Banking"/>
    <n v="3.9"/>
  </r>
  <r>
    <s v="C0351"/>
    <s v="Arjun Kumar"/>
    <s v="Tablet"/>
    <x v="0"/>
    <n v="5"/>
    <n v="41794"/>
    <x v="350"/>
    <x v="70"/>
    <x v="3"/>
    <s v="Credit Card"/>
    <n v="3.5"/>
  </r>
  <r>
    <s v="C0352"/>
    <s v="Divya Reddy"/>
    <s v="Mobile"/>
    <x v="0"/>
    <n v="2"/>
    <n v="34991"/>
    <x v="351"/>
    <x v="75"/>
    <x v="0"/>
    <s v="UPI"/>
    <n v="4.0999999999999996"/>
  </r>
  <r>
    <s v="C0353"/>
    <s v="Ananya Reddy"/>
    <s v="T-Shirt"/>
    <x v="2"/>
    <n v="2"/>
    <n v="23233"/>
    <x v="352"/>
    <x v="52"/>
    <x v="6"/>
    <s v="Cash on Delivery"/>
    <n v="4.8"/>
  </r>
  <r>
    <s v="C0354"/>
    <s v="Divya Reddy"/>
    <s v="Watch"/>
    <x v="1"/>
    <n v="5"/>
    <n v="41762"/>
    <x v="353"/>
    <x v="99"/>
    <x v="5"/>
    <s v="Net Banking"/>
    <n v="3.1"/>
  </r>
  <r>
    <s v="C0355"/>
    <s v="Lakshmi Singh"/>
    <s v="Mobile"/>
    <x v="0"/>
    <n v="4"/>
    <n v="24608"/>
    <x v="354"/>
    <x v="70"/>
    <x v="0"/>
    <s v="UPI"/>
    <n v="3.2"/>
  </r>
  <r>
    <s v="C0356"/>
    <s v="Ananya Kumar"/>
    <s v="Mobile"/>
    <x v="0"/>
    <n v="5"/>
    <n v="30407"/>
    <x v="355"/>
    <x v="92"/>
    <x v="5"/>
    <s v="Debit Card"/>
    <n v="4.9000000000000004"/>
  </r>
  <r>
    <s v="C0357"/>
    <s v="Neha Reddy"/>
    <s v="T-Shirt"/>
    <x v="2"/>
    <n v="5"/>
    <n v="47263"/>
    <x v="356"/>
    <x v="129"/>
    <x v="6"/>
    <s v="Credit Card"/>
    <n v="4.2"/>
  </r>
  <r>
    <s v="C0358"/>
    <s v="Meera Kumar"/>
    <s v="Mixer"/>
    <x v="4"/>
    <n v="5"/>
    <n v="41861"/>
    <x v="357"/>
    <x v="43"/>
    <x v="0"/>
    <s v="Credit Card"/>
    <n v="4.5999999999999996"/>
  </r>
  <r>
    <s v="C0359"/>
    <s v="Divya Reddy"/>
    <s v="Bag"/>
    <x v="1"/>
    <n v="5"/>
    <n v="15652"/>
    <x v="358"/>
    <x v="66"/>
    <x v="6"/>
    <s v="Net Banking"/>
    <n v="4.7"/>
  </r>
  <r>
    <s v="C0360"/>
    <s v="Suresh Sharma"/>
    <s v="T-Shirt"/>
    <x v="2"/>
    <n v="4"/>
    <n v="10707"/>
    <x v="359"/>
    <x v="73"/>
    <x v="3"/>
    <s v="Debit Card"/>
    <n v="3.3"/>
  </r>
  <r>
    <s v="C0361"/>
    <s v="Riya Kumar"/>
    <s v="Chair"/>
    <x v="5"/>
    <n v="4"/>
    <n v="5204"/>
    <x v="360"/>
    <x v="147"/>
    <x v="0"/>
    <s v="Debit Card"/>
    <n v="3.5"/>
  </r>
  <r>
    <s v="C0362"/>
    <s v="Lakshmi Patel"/>
    <s v="Mixer"/>
    <x v="4"/>
    <n v="4"/>
    <n v="12001"/>
    <x v="361"/>
    <x v="76"/>
    <x v="2"/>
    <s v="Cash on Delivery"/>
    <n v="4.2"/>
  </r>
  <r>
    <s v="C0363"/>
    <s v="Aisha Singh"/>
    <s v="Shoes"/>
    <x v="2"/>
    <n v="5"/>
    <n v="30365"/>
    <x v="362"/>
    <x v="86"/>
    <x v="1"/>
    <s v="Debit Card"/>
    <n v="3.4"/>
  </r>
  <r>
    <s v="C0364"/>
    <s v="Kavya Reddy"/>
    <s v="Chair"/>
    <x v="5"/>
    <n v="4"/>
    <n v="11361"/>
    <x v="363"/>
    <x v="59"/>
    <x v="4"/>
    <s v="Credit Card"/>
    <n v="3"/>
  </r>
  <r>
    <s v="C0365"/>
    <s v="Rohit Singh"/>
    <s v="Headphones"/>
    <x v="0"/>
    <n v="2"/>
    <n v="40679"/>
    <x v="364"/>
    <x v="87"/>
    <x v="1"/>
    <s v="Net Banking"/>
    <n v="4.5"/>
  </r>
  <r>
    <s v="C0366"/>
    <s v="Divya Kumar"/>
    <s v="T-Shirt"/>
    <x v="2"/>
    <n v="1"/>
    <n v="22600"/>
    <x v="365"/>
    <x v="151"/>
    <x v="6"/>
    <s v="Debit Card"/>
    <n v="4.7"/>
  </r>
  <r>
    <s v="C0367"/>
    <s v="Divya Reddy"/>
    <s v="Bag"/>
    <x v="1"/>
    <n v="2"/>
    <n v="37047"/>
    <x v="366"/>
    <x v="150"/>
    <x v="1"/>
    <s v="UPI"/>
    <n v="4"/>
  </r>
  <r>
    <s v="C0368"/>
    <s v="Meera Reddy"/>
    <s v="Keyboard"/>
    <x v="0"/>
    <n v="3"/>
    <n v="47485"/>
    <x v="367"/>
    <x v="142"/>
    <x v="6"/>
    <s v="UPI"/>
    <n v="4.4000000000000004"/>
  </r>
  <r>
    <s v="C0369"/>
    <s v="Arjun Singh"/>
    <s v="Watch"/>
    <x v="1"/>
    <n v="1"/>
    <n v="5092"/>
    <x v="368"/>
    <x v="68"/>
    <x v="0"/>
    <s v="Debit Card"/>
    <n v="4.7"/>
  </r>
  <r>
    <s v="C0370"/>
    <s v="Priya Reddy"/>
    <s v="T-Shirt"/>
    <x v="2"/>
    <n v="4"/>
    <n v="36764"/>
    <x v="369"/>
    <x v="37"/>
    <x v="3"/>
    <s v="UPI"/>
    <n v="4"/>
  </r>
  <r>
    <s v="C0371"/>
    <s v="Ananya Patel"/>
    <s v="Chair"/>
    <x v="5"/>
    <n v="2"/>
    <n v="34613"/>
    <x v="370"/>
    <x v="66"/>
    <x v="0"/>
    <s v="Credit Card"/>
    <n v="3.6"/>
  </r>
  <r>
    <s v="C0372"/>
    <s v="Ananya Kumar"/>
    <s v="Book"/>
    <x v="3"/>
    <n v="3"/>
    <n v="27936"/>
    <x v="371"/>
    <x v="101"/>
    <x v="6"/>
    <s v="Net Banking"/>
    <n v="4.4000000000000004"/>
  </r>
  <r>
    <s v="C0373"/>
    <s v="Rahul Kumar"/>
    <s v="T-Shirt"/>
    <x v="2"/>
    <n v="2"/>
    <n v="2947"/>
    <x v="372"/>
    <x v="20"/>
    <x v="1"/>
    <s v="Debit Card"/>
    <n v="3.5"/>
  </r>
  <r>
    <s v="C0374"/>
    <s v="Neha Reddy"/>
    <s v="Laptop"/>
    <x v="0"/>
    <n v="2"/>
    <n v="49984"/>
    <x v="373"/>
    <x v="75"/>
    <x v="2"/>
    <s v="Credit Card"/>
    <n v="3.6"/>
  </r>
  <r>
    <s v="C0375"/>
    <s v="Sneha Kumar"/>
    <s v="Shoes"/>
    <x v="2"/>
    <n v="2"/>
    <n v="25260"/>
    <x v="374"/>
    <x v="69"/>
    <x v="3"/>
    <s v="Cash on Delivery"/>
    <n v="4.8"/>
  </r>
  <r>
    <s v="C0376"/>
    <s v="Kavya Kumar"/>
    <s v="Mixer"/>
    <x v="4"/>
    <n v="5"/>
    <n v="21586"/>
    <x v="375"/>
    <x v="101"/>
    <x v="5"/>
    <s v="Net Banking"/>
    <n v="3.6"/>
  </r>
  <r>
    <s v="C0377"/>
    <s v="Pooja Kumar"/>
    <s v="Shoes"/>
    <x v="2"/>
    <n v="5"/>
    <n v="5539"/>
    <x v="376"/>
    <x v="152"/>
    <x v="5"/>
    <s v="UPI"/>
    <n v="3.4"/>
  </r>
  <r>
    <s v="C0378"/>
    <s v="Rohit Patel"/>
    <s v="Mobile"/>
    <x v="0"/>
    <n v="2"/>
    <n v="21390"/>
    <x v="377"/>
    <x v="117"/>
    <x v="1"/>
    <s v="Credit Card"/>
    <n v="3.7"/>
  </r>
  <r>
    <s v="C0379"/>
    <s v="Riya Reddy"/>
    <s v="Tablet"/>
    <x v="0"/>
    <n v="4"/>
    <n v="19163"/>
    <x v="378"/>
    <x v="107"/>
    <x v="3"/>
    <s v="Debit Card"/>
    <n v="4.9000000000000004"/>
  </r>
  <r>
    <s v="C0380"/>
    <s v="Rahul Singh"/>
    <s v="Chair"/>
    <x v="5"/>
    <n v="4"/>
    <n v="4623"/>
    <x v="379"/>
    <x v="106"/>
    <x v="5"/>
    <s v="UPI"/>
    <n v="4.5999999999999996"/>
  </r>
  <r>
    <s v="C0381"/>
    <s v="Ananya Singh"/>
    <s v="Keyboard"/>
    <x v="0"/>
    <n v="3"/>
    <n v="42332"/>
    <x v="380"/>
    <x v="11"/>
    <x v="4"/>
    <s v="Cash on Delivery"/>
    <n v="4.8"/>
  </r>
  <r>
    <s v="C0382"/>
    <s v="Kavya Kumar"/>
    <s v="Watch"/>
    <x v="1"/>
    <n v="2"/>
    <n v="39661"/>
    <x v="381"/>
    <x v="62"/>
    <x v="6"/>
    <s v="Debit Card"/>
    <n v="4"/>
  </r>
  <r>
    <s v="C0383"/>
    <s v="Priya Reddy"/>
    <s v="Shoes"/>
    <x v="2"/>
    <n v="4"/>
    <n v="45991"/>
    <x v="382"/>
    <x v="2"/>
    <x v="6"/>
    <s v="Cash on Delivery"/>
    <n v="3.1"/>
  </r>
  <r>
    <s v="C0384"/>
    <s v="Priya Patel"/>
    <s v="Keyboard"/>
    <x v="0"/>
    <n v="4"/>
    <n v="44565"/>
    <x v="383"/>
    <x v="153"/>
    <x v="0"/>
    <s v="Debit Card"/>
    <n v="4.2"/>
  </r>
  <r>
    <s v="C0385"/>
    <s v="Nisha Patel"/>
    <s v="Chair"/>
    <x v="5"/>
    <n v="4"/>
    <n v="38135"/>
    <x v="384"/>
    <x v="131"/>
    <x v="2"/>
    <s v="Debit Card"/>
    <n v="3.2"/>
  </r>
  <r>
    <s v="C0386"/>
    <s v="Divya Sharma"/>
    <s v="Watch"/>
    <x v="1"/>
    <n v="1"/>
    <n v="3349"/>
    <x v="385"/>
    <x v="126"/>
    <x v="2"/>
    <s v="UPI"/>
    <n v="4.2"/>
  </r>
  <r>
    <s v="C0387"/>
    <s v="Arjun Sharma"/>
    <s v="Keyboard"/>
    <x v="0"/>
    <n v="4"/>
    <n v="14680"/>
    <x v="386"/>
    <x v="82"/>
    <x v="4"/>
    <s v="Cash on Delivery"/>
    <n v="4.2"/>
  </r>
  <r>
    <s v="C0388"/>
    <s v="Sneha Reddy"/>
    <s v="Headphones"/>
    <x v="0"/>
    <n v="2"/>
    <n v="36386"/>
    <x v="387"/>
    <x v="40"/>
    <x v="0"/>
    <s v="Cash on Delivery"/>
    <n v="4"/>
  </r>
  <r>
    <s v="C0389"/>
    <s v="Kavya Patel"/>
    <s v="Mobile"/>
    <x v="0"/>
    <n v="3"/>
    <n v="14987"/>
    <x v="388"/>
    <x v="82"/>
    <x v="1"/>
    <s v="Cash on Delivery"/>
    <n v="4"/>
  </r>
  <r>
    <s v="C0390"/>
    <s v="Aarav Kumar"/>
    <s v="Shoes"/>
    <x v="2"/>
    <n v="5"/>
    <n v="32595"/>
    <x v="389"/>
    <x v="52"/>
    <x v="4"/>
    <s v="UPI"/>
    <n v="4.7"/>
  </r>
  <r>
    <s v="C0391"/>
    <s v="Pooja Kumar"/>
    <s v="Tablet"/>
    <x v="0"/>
    <n v="5"/>
    <n v="35442"/>
    <x v="390"/>
    <x v="146"/>
    <x v="4"/>
    <s v="Net Banking"/>
    <n v="4.9000000000000004"/>
  </r>
  <r>
    <s v="C0392"/>
    <s v="Aarav Kumar"/>
    <s v="Chair"/>
    <x v="5"/>
    <n v="5"/>
    <n v="39506"/>
    <x v="391"/>
    <x v="123"/>
    <x v="3"/>
    <s v="Net Banking"/>
    <n v="4.3"/>
  </r>
  <r>
    <s v="C0393"/>
    <s v="Aarav Kumar"/>
    <s v="Mixer"/>
    <x v="4"/>
    <n v="2"/>
    <n v="33094"/>
    <x v="392"/>
    <x v="70"/>
    <x v="0"/>
    <s v="UPI"/>
    <n v="3.9"/>
  </r>
  <r>
    <s v="C0394"/>
    <s v="Vikram Singh"/>
    <s v="Watch"/>
    <x v="1"/>
    <n v="5"/>
    <n v="26104"/>
    <x v="393"/>
    <x v="129"/>
    <x v="4"/>
    <s v="Net Banking"/>
    <n v="3.1"/>
  </r>
  <r>
    <s v="C0395"/>
    <s v="Sneha Kumar"/>
    <s v="Bag"/>
    <x v="1"/>
    <n v="4"/>
    <n v="37213"/>
    <x v="394"/>
    <x v="73"/>
    <x v="6"/>
    <s v="UPI"/>
    <n v="4.0999999999999996"/>
  </r>
  <r>
    <s v="C0396"/>
    <s v="Pooja Kumar"/>
    <s v="Tablet"/>
    <x v="0"/>
    <n v="1"/>
    <n v="1534"/>
    <x v="395"/>
    <x v="30"/>
    <x v="2"/>
    <s v="Cash on Delivery"/>
    <n v="4.2"/>
  </r>
  <r>
    <s v="C0397"/>
    <s v="Meera Kumar"/>
    <s v="Mixer"/>
    <x v="4"/>
    <n v="2"/>
    <n v="13321"/>
    <x v="396"/>
    <x v="133"/>
    <x v="4"/>
    <s v="Debit Card"/>
    <n v="4.2"/>
  </r>
  <r>
    <s v="C0398"/>
    <s v="Aarav Patel"/>
    <s v="T-Shirt"/>
    <x v="2"/>
    <n v="5"/>
    <n v="5723"/>
    <x v="397"/>
    <x v="110"/>
    <x v="5"/>
    <s v="Net Banking"/>
    <n v="3.8"/>
  </r>
  <r>
    <s v="C0399"/>
    <s v="Aisha Sharma"/>
    <s v="Headphones"/>
    <x v="0"/>
    <n v="1"/>
    <n v="18587"/>
    <x v="398"/>
    <x v="80"/>
    <x v="3"/>
    <s v="UPI"/>
    <n v="4.5999999999999996"/>
  </r>
  <r>
    <s v="C0400"/>
    <s v="Aarav Patel"/>
    <s v="Laptop"/>
    <x v="0"/>
    <n v="2"/>
    <n v="22985"/>
    <x v="399"/>
    <x v="53"/>
    <x v="2"/>
    <s v="Net Banking"/>
    <n v="3.3"/>
  </r>
  <r>
    <s v="C0401"/>
    <s v="Suresh Kumar"/>
    <s v="Bag"/>
    <x v="1"/>
    <n v="1"/>
    <n v="16628"/>
    <x v="400"/>
    <x v="134"/>
    <x v="2"/>
    <s v="Net Banking"/>
    <n v="4.5999999999999996"/>
  </r>
  <r>
    <s v="C0402"/>
    <s v="Nisha Kumar"/>
    <s v="Bag"/>
    <x v="1"/>
    <n v="3"/>
    <n v="17764"/>
    <x v="401"/>
    <x v="149"/>
    <x v="0"/>
    <s v="Credit Card"/>
    <n v="4.5999999999999996"/>
  </r>
  <r>
    <s v="C0403"/>
    <s v="Priya Reddy"/>
    <s v="Keyboard"/>
    <x v="0"/>
    <n v="5"/>
    <n v="7386"/>
    <x v="402"/>
    <x v="87"/>
    <x v="4"/>
    <s v="Net Banking"/>
    <n v="5"/>
  </r>
  <r>
    <s v="C0404"/>
    <s v="Rahul Kumar"/>
    <s v="Mixer"/>
    <x v="4"/>
    <n v="1"/>
    <n v="35053"/>
    <x v="403"/>
    <x v="97"/>
    <x v="6"/>
    <s v="Net Banking"/>
    <n v="3.8"/>
  </r>
  <r>
    <s v="C0405"/>
    <s v="Sneha Reddy"/>
    <s v="Headphones"/>
    <x v="0"/>
    <n v="5"/>
    <n v="7882"/>
    <x v="404"/>
    <x v="44"/>
    <x v="6"/>
    <s v="Cash on Delivery"/>
    <n v="4.9000000000000004"/>
  </r>
  <r>
    <s v="C0406"/>
    <s v="Lakshmi Reddy"/>
    <s v="Book"/>
    <x v="3"/>
    <n v="3"/>
    <n v="46173"/>
    <x v="405"/>
    <x v="105"/>
    <x v="2"/>
    <s v="UPI"/>
    <n v="3.1"/>
  </r>
  <r>
    <s v="C0407"/>
    <s v="Kiran Patel"/>
    <s v="T-Shirt"/>
    <x v="2"/>
    <n v="3"/>
    <n v="17105"/>
    <x v="406"/>
    <x v="41"/>
    <x v="5"/>
    <s v="Net Banking"/>
    <n v="4.2"/>
  </r>
  <r>
    <s v="C0408"/>
    <s v="Neha Kumar"/>
    <s v="Laptop"/>
    <x v="0"/>
    <n v="5"/>
    <n v="27005"/>
    <x v="407"/>
    <x v="131"/>
    <x v="3"/>
    <s v="UPI"/>
    <n v="3.3"/>
  </r>
  <r>
    <s v="C0409"/>
    <s v="Rohit Sharma"/>
    <s v="Mobile"/>
    <x v="0"/>
    <n v="3"/>
    <n v="10745"/>
    <x v="408"/>
    <x v="129"/>
    <x v="1"/>
    <s v="Cash on Delivery"/>
    <n v="4.2"/>
  </r>
  <r>
    <s v="C0410"/>
    <s v="Rahul Sharma"/>
    <s v="Headphones"/>
    <x v="0"/>
    <n v="2"/>
    <n v="6237"/>
    <x v="409"/>
    <x v="154"/>
    <x v="1"/>
    <s v="Debit Card"/>
    <n v="3.7"/>
  </r>
  <r>
    <s v="C0411"/>
    <s v="Nisha Kumar"/>
    <s v="Laptop"/>
    <x v="0"/>
    <n v="5"/>
    <n v="24005"/>
    <x v="410"/>
    <x v="46"/>
    <x v="2"/>
    <s v="Credit Card"/>
    <n v="3.9"/>
  </r>
  <r>
    <s v="C0412"/>
    <s v="Aisha Singh"/>
    <s v="Keyboard"/>
    <x v="0"/>
    <n v="3"/>
    <n v="29307"/>
    <x v="411"/>
    <x v="97"/>
    <x v="0"/>
    <s v="Debit Card"/>
    <n v="4.0999999999999996"/>
  </r>
  <r>
    <s v="C0413"/>
    <s v="Vikram Kumar"/>
    <s v="Bag"/>
    <x v="1"/>
    <n v="2"/>
    <n v="15917"/>
    <x v="412"/>
    <x v="134"/>
    <x v="1"/>
    <s v="Cash on Delivery"/>
    <n v="4"/>
  </r>
  <r>
    <s v="C0414"/>
    <s v="Lakshmi Kumar"/>
    <s v="Headphones"/>
    <x v="0"/>
    <n v="3"/>
    <n v="21037"/>
    <x v="413"/>
    <x v="143"/>
    <x v="1"/>
    <s v="UPI"/>
    <n v="3.6"/>
  </r>
  <r>
    <s v="C0415"/>
    <s v="Sneha Reddy"/>
    <s v="Bag"/>
    <x v="1"/>
    <n v="4"/>
    <n v="46778"/>
    <x v="414"/>
    <x v="80"/>
    <x v="2"/>
    <s v="Net Banking"/>
    <n v="3.8"/>
  </r>
  <r>
    <s v="C0416"/>
    <s v="Rohit Singh"/>
    <s v="Book"/>
    <x v="3"/>
    <n v="1"/>
    <n v="22122"/>
    <x v="415"/>
    <x v="146"/>
    <x v="2"/>
    <s v="Cash on Delivery"/>
    <n v="3.2"/>
  </r>
  <r>
    <s v="C0417"/>
    <s v="Priya Patel"/>
    <s v="Book"/>
    <x v="3"/>
    <n v="3"/>
    <n v="22908"/>
    <x v="416"/>
    <x v="155"/>
    <x v="5"/>
    <s v="Cash on Delivery"/>
    <n v="4.3"/>
  </r>
  <r>
    <s v="C0418"/>
    <s v="Meera Singh"/>
    <s v="Mixer"/>
    <x v="4"/>
    <n v="1"/>
    <n v="28506"/>
    <x v="417"/>
    <x v="40"/>
    <x v="2"/>
    <s v="UPI"/>
    <n v="3.9"/>
  </r>
  <r>
    <s v="C0419"/>
    <s v="Kavya Kumar"/>
    <s v="Bag"/>
    <x v="1"/>
    <n v="2"/>
    <n v="45544"/>
    <x v="418"/>
    <x v="44"/>
    <x v="4"/>
    <s v="Debit Card"/>
    <n v="4.9000000000000004"/>
  </r>
  <r>
    <s v="C0420"/>
    <s v="Kavya Sharma"/>
    <s v="Laptop"/>
    <x v="0"/>
    <n v="2"/>
    <n v="21821"/>
    <x v="419"/>
    <x v="92"/>
    <x v="4"/>
    <s v="Net Banking"/>
    <n v="4.0999999999999996"/>
  </r>
  <r>
    <s v="C0421"/>
    <s v="Neha Reddy"/>
    <s v="Mixer"/>
    <x v="4"/>
    <n v="3"/>
    <n v="10342"/>
    <x v="420"/>
    <x v="80"/>
    <x v="6"/>
    <s v="Net Banking"/>
    <n v="4.7"/>
  </r>
  <r>
    <s v="C0422"/>
    <s v="Pooja Sharma"/>
    <s v="Mixer"/>
    <x v="4"/>
    <n v="5"/>
    <n v="49170"/>
    <x v="421"/>
    <x v="11"/>
    <x v="2"/>
    <s v="Cash on Delivery"/>
    <n v="4.7"/>
  </r>
  <r>
    <s v="C0423"/>
    <s v="Nisha Kumar"/>
    <s v="Bag"/>
    <x v="1"/>
    <n v="4"/>
    <n v="33533"/>
    <x v="422"/>
    <x v="25"/>
    <x v="0"/>
    <s v="UPI"/>
    <n v="4.0999999999999996"/>
  </r>
  <r>
    <s v="C0424"/>
    <s v="Rahul Singh"/>
    <s v="T-Shirt"/>
    <x v="2"/>
    <n v="2"/>
    <n v="43575"/>
    <x v="423"/>
    <x v="156"/>
    <x v="2"/>
    <s v="UPI"/>
    <n v="3.1"/>
  </r>
  <r>
    <s v="C0425"/>
    <s v="Ananya Sharma"/>
    <s v="Headphones"/>
    <x v="0"/>
    <n v="1"/>
    <n v="32494"/>
    <x v="424"/>
    <x v="119"/>
    <x v="4"/>
    <s v="UPI"/>
    <n v="3.9"/>
  </r>
  <r>
    <s v="C0426"/>
    <s v="Kavya Sharma"/>
    <s v="Mixer"/>
    <x v="4"/>
    <n v="4"/>
    <n v="6139"/>
    <x v="425"/>
    <x v="76"/>
    <x v="5"/>
    <s v="Credit Card"/>
    <n v="3"/>
  </r>
  <r>
    <s v="C0427"/>
    <s v="Meera Singh"/>
    <s v="Watch"/>
    <x v="1"/>
    <n v="1"/>
    <n v="5801"/>
    <x v="426"/>
    <x v="50"/>
    <x v="2"/>
    <s v="Net Banking"/>
    <n v="4.3"/>
  </r>
  <r>
    <s v="C0428"/>
    <s v="Neha Patel"/>
    <s v="Watch"/>
    <x v="1"/>
    <n v="1"/>
    <n v="47903"/>
    <x v="427"/>
    <x v="109"/>
    <x v="2"/>
    <s v="Net Banking"/>
    <n v="3.4"/>
  </r>
  <r>
    <s v="C0429"/>
    <s v="Meera Patel"/>
    <s v="T-Shirt"/>
    <x v="2"/>
    <n v="1"/>
    <n v="16385"/>
    <x v="428"/>
    <x v="157"/>
    <x v="6"/>
    <s v="UPI"/>
    <n v="4.7"/>
  </r>
  <r>
    <s v="C0430"/>
    <s v="Diya Kumar"/>
    <s v="Mobile"/>
    <x v="0"/>
    <n v="2"/>
    <n v="19521"/>
    <x v="429"/>
    <x v="69"/>
    <x v="5"/>
    <s v="Credit Card"/>
    <n v="4.5"/>
  </r>
  <r>
    <s v="C0431"/>
    <s v="Rahul Kumar"/>
    <s v="Headphones"/>
    <x v="0"/>
    <n v="3"/>
    <n v="5540"/>
    <x v="430"/>
    <x v="158"/>
    <x v="3"/>
    <s v="Credit Card"/>
    <n v="3.2"/>
  </r>
  <r>
    <s v="C0432"/>
    <s v="Pooja Singh"/>
    <s v="Watch"/>
    <x v="1"/>
    <n v="3"/>
    <n v="48589"/>
    <x v="431"/>
    <x v="102"/>
    <x v="4"/>
    <s v="Cash on Delivery"/>
    <n v="3.3"/>
  </r>
  <r>
    <s v="C0433"/>
    <s v="Suresh Sharma"/>
    <s v="Laptop"/>
    <x v="0"/>
    <n v="5"/>
    <n v="9517"/>
    <x v="432"/>
    <x v="133"/>
    <x v="4"/>
    <s v="Credit Card"/>
    <n v="4.0999999999999996"/>
  </r>
  <r>
    <s v="C0434"/>
    <s v="Divya Kumar"/>
    <s v="Chair"/>
    <x v="5"/>
    <n v="5"/>
    <n v="12089"/>
    <x v="433"/>
    <x v="133"/>
    <x v="6"/>
    <s v="UPI"/>
    <n v="3.5"/>
  </r>
  <r>
    <s v="C0435"/>
    <s v="Rohit Sharma"/>
    <s v="Tablet"/>
    <x v="0"/>
    <n v="3"/>
    <n v="36958"/>
    <x v="434"/>
    <x v="154"/>
    <x v="2"/>
    <s v="Credit Card"/>
    <n v="4.5999999999999996"/>
  </r>
  <r>
    <s v="C0436"/>
    <s v="Kavya Reddy"/>
    <s v="Watch"/>
    <x v="1"/>
    <n v="4"/>
    <n v="6299"/>
    <x v="435"/>
    <x v="49"/>
    <x v="1"/>
    <s v="Cash on Delivery"/>
    <n v="4.5999999999999996"/>
  </r>
  <r>
    <s v="C0437"/>
    <s v="Aarav Kumar"/>
    <s v="Mixer"/>
    <x v="4"/>
    <n v="1"/>
    <n v="6669"/>
    <x v="436"/>
    <x v="50"/>
    <x v="2"/>
    <s v="Debit Card"/>
    <n v="3.3"/>
  </r>
  <r>
    <s v="C0438"/>
    <s v="Riya Kumar"/>
    <s v="Mixer"/>
    <x v="4"/>
    <n v="3"/>
    <n v="14554"/>
    <x v="437"/>
    <x v="135"/>
    <x v="4"/>
    <s v="Debit Card"/>
    <n v="3.1"/>
  </r>
  <r>
    <s v="C0439"/>
    <s v="Neha Kumar"/>
    <s v="Mixer"/>
    <x v="4"/>
    <n v="2"/>
    <n v="27412"/>
    <x v="438"/>
    <x v="112"/>
    <x v="6"/>
    <s v="UPI"/>
    <n v="3.2"/>
  </r>
  <r>
    <s v="C0440"/>
    <s v="Diya Kumar"/>
    <s v="Book"/>
    <x v="3"/>
    <n v="2"/>
    <n v="47311"/>
    <x v="439"/>
    <x v="159"/>
    <x v="2"/>
    <s v="Cash on Delivery"/>
    <n v="4"/>
  </r>
  <r>
    <s v="C0441"/>
    <s v="Lakshmi Singh"/>
    <s v="Book"/>
    <x v="3"/>
    <n v="4"/>
    <n v="38602"/>
    <x v="440"/>
    <x v="151"/>
    <x v="1"/>
    <s v="Credit Card"/>
    <n v="3.5"/>
  </r>
  <r>
    <s v="C0442"/>
    <s v="Diya Kumar"/>
    <s v="Shoes"/>
    <x v="2"/>
    <n v="1"/>
    <n v="28224"/>
    <x v="441"/>
    <x v="143"/>
    <x v="4"/>
    <s v="Net Banking"/>
    <n v="3.1"/>
  </r>
  <r>
    <s v="C0443"/>
    <s v="Priya Singh"/>
    <s v="Laptop"/>
    <x v="0"/>
    <n v="1"/>
    <n v="6748"/>
    <x v="442"/>
    <x v="110"/>
    <x v="2"/>
    <s v="Debit Card"/>
    <n v="3.7"/>
  </r>
  <r>
    <s v="C0444"/>
    <s v="Nisha Singh"/>
    <s v="Shoes"/>
    <x v="2"/>
    <n v="4"/>
    <n v="1788"/>
    <x v="443"/>
    <x v="137"/>
    <x v="3"/>
    <s v="Cash on Delivery"/>
    <n v="4"/>
  </r>
  <r>
    <s v="C0445"/>
    <s v="Priya Reddy"/>
    <s v="Mixer"/>
    <x v="4"/>
    <n v="3"/>
    <n v="34171"/>
    <x v="444"/>
    <x v="30"/>
    <x v="2"/>
    <s v="Net Banking"/>
    <n v="4.4000000000000004"/>
  </r>
  <r>
    <s v="C0446"/>
    <s v="Rohit Reddy"/>
    <s v="T-Shirt"/>
    <x v="2"/>
    <n v="5"/>
    <n v="44579"/>
    <x v="445"/>
    <x v="146"/>
    <x v="3"/>
    <s v="Debit Card"/>
    <n v="4.2"/>
  </r>
  <r>
    <s v="C0447"/>
    <s v="Riya Reddy"/>
    <s v="Mixer"/>
    <x v="4"/>
    <n v="2"/>
    <n v="2871"/>
    <x v="446"/>
    <x v="160"/>
    <x v="3"/>
    <s v="Credit Card"/>
    <n v="3.4"/>
  </r>
  <r>
    <s v="C0448"/>
    <s v="Diya Reddy"/>
    <s v="Mixer"/>
    <x v="4"/>
    <n v="4"/>
    <n v="4127"/>
    <x v="447"/>
    <x v="6"/>
    <x v="1"/>
    <s v="Net Banking"/>
    <n v="3.8"/>
  </r>
  <r>
    <s v="C0449"/>
    <s v="Priya Reddy"/>
    <s v="Bag"/>
    <x v="1"/>
    <n v="3"/>
    <n v="23080"/>
    <x v="448"/>
    <x v="46"/>
    <x v="6"/>
    <s v="Net Banking"/>
    <n v="4.7"/>
  </r>
  <r>
    <s v="C0450"/>
    <s v="Rahul Singh"/>
    <s v="Bag"/>
    <x v="1"/>
    <n v="1"/>
    <n v="26109"/>
    <x v="449"/>
    <x v="71"/>
    <x v="2"/>
    <s v="Cash on Delivery"/>
    <n v="4.8"/>
  </r>
  <r>
    <s v="C0451"/>
    <s v="Lakshmi Reddy"/>
    <s v="T-Shirt"/>
    <x v="2"/>
    <n v="2"/>
    <n v="43294"/>
    <x v="450"/>
    <x v="144"/>
    <x v="0"/>
    <s v="Net Banking"/>
    <n v="3.2"/>
  </r>
  <r>
    <s v="C0452"/>
    <s v="Kiran Kumar"/>
    <s v="Watch"/>
    <x v="1"/>
    <n v="2"/>
    <n v="4365"/>
    <x v="451"/>
    <x v="161"/>
    <x v="3"/>
    <s v="Cash on Delivery"/>
    <n v="4"/>
  </r>
  <r>
    <s v="C0453"/>
    <s v="Divya Singh"/>
    <s v="Shoes"/>
    <x v="2"/>
    <n v="2"/>
    <n v="24921"/>
    <x v="452"/>
    <x v="22"/>
    <x v="1"/>
    <s v="Debit Card"/>
    <n v="4"/>
  </r>
  <r>
    <s v="C0454"/>
    <s v="Neha Patel"/>
    <s v="Mobile"/>
    <x v="0"/>
    <n v="1"/>
    <n v="4584"/>
    <x v="453"/>
    <x v="134"/>
    <x v="5"/>
    <s v="Credit Card"/>
    <n v="3"/>
  </r>
  <r>
    <s v="C0455"/>
    <s v="Rahul Kumar"/>
    <s v="T-Shirt"/>
    <x v="2"/>
    <n v="5"/>
    <n v="20166"/>
    <x v="454"/>
    <x v="162"/>
    <x v="5"/>
    <s v="Debit Card"/>
    <n v="3.7"/>
  </r>
  <r>
    <s v="C0456"/>
    <s v="Pooja Reddy"/>
    <s v="Shoes"/>
    <x v="2"/>
    <n v="4"/>
    <n v="47216"/>
    <x v="455"/>
    <x v="95"/>
    <x v="5"/>
    <s v="UPI"/>
    <n v="3.4"/>
  </r>
  <r>
    <s v="C0457"/>
    <s v="Suresh Patel"/>
    <s v="Mixer"/>
    <x v="4"/>
    <n v="2"/>
    <n v="21403"/>
    <x v="456"/>
    <x v="34"/>
    <x v="2"/>
    <s v="Debit Card"/>
    <n v="4.7"/>
  </r>
  <r>
    <s v="C0458"/>
    <s v="Ananya Sharma"/>
    <s v="Mobile"/>
    <x v="0"/>
    <n v="2"/>
    <n v="21839"/>
    <x v="457"/>
    <x v="17"/>
    <x v="3"/>
    <s v="UPI"/>
    <n v="4.8"/>
  </r>
  <r>
    <s v="C0459"/>
    <s v="Rahul Singh"/>
    <s v="Mobile"/>
    <x v="0"/>
    <n v="4"/>
    <n v="24704"/>
    <x v="458"/>
    <x v="163"/>
    <x v="5"/>
    <s v="Net Banking"/>
    <n v="3.5"/>
  </r>
  <r>
    <s v="C0460"/>
    <s v="Meera Sharma"/>
    <s v="Book"/>
    <x v="3"/>
    <n v="3"/>
    <n v="47795"/>
    <x v="459"/>
    <x v="47"/>
    <x v="4"/>
    <s v="Debit Card"/>
    <n v="4.3"/>
  </r>
  <r>
    <s v="C0461"/>
    <s v="Meera Sharma"/>
    <s v="Laptop"/>
    <x v="0"/>
    <n v="5"/>
    <n v="1675"/>
    <x v="460"/>
    <x v="0"/>
    <x v="5"/>
    <s v="UPI"/>
    <n v="3.3"/>
  </r>
  <r>
    <s v="C0462"/>
    <s v="Priya Singh"/>
    <s v="Book"/>
    <x v="3"/>
    <n v="4"/>
    <n v="20913"/>
    <x v="461"/>
    <x v="72"/>
    <x v="3"/>
    <s v="UPI"/>
    <n v="4.4000000000000004"/>
  </r>
  <r>
    <s v="C0463"/>
    <s v="Arjun Patel"/>
    <s v="Mobile"/>
    <x v="0"/>
    <n v="3"/>
    <n v="29849"/>
    <x v="462"/>
    <x v="48"/>
    <x v="0"/>
    <s v="Debit Card"/>
    <n v="4.5"/>
  </r>
  <r>
    <s v="C0464"/>
    <s v="Priya Kumar"/>
    <s v="Shoes"/>
    <x v="2"/>
    <n v="1"/>
    <n v="48327"/>
    <x v="463"/>
    <x v="84"/>
    <x v="5"/>
    <s v="Net Banking"/>
    <n v="4.7"/>
  </r>
  <r>
    <s v="C0465"/>
    <s v="Priya Kumar"/>
    <s v="Headphones"/>
    <x v="0"/>
    <n v="3"/>
    <n v="30609"/>
    <x v="464"/>
    <x v="87"/>
    <x v="6"/>
    <s v="UPI"/>
    <n v="4.8"/>
  </r>
  <r>
    <s v="C0466"/>
    <s v="Divya Kumar"/>
    <s v="Laptop"/>
    <x v="0"/>
    <n v="1"/>
    <n v="14184"/>
    <x v="465"/>
    <x v="10"/>
    <x v="5"/>
    <s v="Net Banking"/>
    <n v="4.8"/>
  </r>
  <r>
    <s v="C0467"/>
    <s v="Sneha Kumar"/>
    <s v="Watch"/>
    <x v="1"/>
    <n v="1"/>
    <n v="2110"/>
    <x v="466"/>
    <x v="78"/>
    <x v="5"/>
    <s v="Cash on Delivery"/>
    <n v="4.8"/>
  </r>
  <r>
    <s v="C0468"/>
    <s v="Kiran Patel"/>
    <s v="Keyboard"/>
    <x v="0"/>
    <n v="3"/>
    <n v="37417"/>
    <x v="467"/>
    <x v="63"/>
    <x v="6"/>
    <s v="Debit Card"/>
    <n v="3.3"/>
  </r>
  <r>
    <s v="C0469"/>
    <s v="Lakshmi Reddy"/>
    <s v="Chair"/>
    <x v="5"/>
    <n v="3"/>
    <n v="13906"/>
    <x v="468"/>
    <x v="90"/>
    <x v="6"/>
    <s v="Cash on Delivery"/>
    <n v="3.8"/>
  </r>
  <r>
    <s v="C0470"/>
    <s v="Rahul Kumar"/>
    <s v="Mobile"/>
    <x v="0"/>
    <n v="3"/>
    <n v="8085"/>
    <x v="469"/>
    <x v="7"/>
    <x v="6"/>
    <s v="Debit Card"/>
    <n v="3"/>
  </r>
  <r>
    <s v="C0471"/>
    <s v="Priya Reddy"/>
    <s v="Mixer"/>
    <x v="4"/>
    <n v="5"/>
    <n v="42695"/>
    <x v="470"/>
    <x v="61"/>
    <x v="2"/>
    <s v="UPI"/>
    <n v="5"/>
  </r>
  <r>
    <s v="C0472"/>
    <s v="Arjun Singh"/>
    <s v="Bag"/>
    <x v="1"/>
    <n v="3"/>
    <n v="4794"/>
    <x v="471"/>
    <x v="5"/>
    <x v="1"/>
    <s v="Net Banking"/>
    <n v="3"/>
  </r>
  <r>
    <s v="C0473"/>
    <s v="Vikram Reddy"/>
    <s v="T-Shirt"/>
    <x v="2"/>
    <n v="1"/>
    <n v="17961"/>
    <x v="472"/>
    <x v="97"/>
    <x v="3"/>
    <s v="Credit Card"/>
    <n v="4.7"/>
  </r>
  <r>
    <s v="C0474"/>
    <s v="Neha Singh"/>
    <s v="Book"/>
    <x v="3"/>
    <n v="2"/>
    <n v="18761"/>
    <x v="473"/>
    <x v="34"/>
    <x v="2"/>
    <s v="Net Banking"/>
    <n v="4.7"/>
  </r>
  <r>
    <s v="C0475"/>
    <s v="Rahul Singh"/>
    <s v="T-Shirt"/>
    <x v="2"/>
    <n v="2"/>
    <n v="37870"/>
    <x v="474"/>
    <x v="24"/>
    <x v="5"/>
    <s v="UPI"/>
    <n v="3.8"/>
  </r>
  <r>
    <s v="C0476"/>
    <s v="Nisha Patel"/>
    <s v="Shoes"/>
    <x v="2"/>
    <n v="2"/>
    <n v="752"/>
    <x v="475"/>
    <x v="21"/>
    <x v="0"/>
    <s v="Cash on Delivery"/>
    <n v="3.7"/>
  </r>
  <r>
    <s v="C0477"/>
    <s v="Divya Singh"/>
    <s v="Tablet"/>
    <x v="0"/>
    <n v="1"/>
    <n v="31143"/>
    <x v="476"/>
    <x v="134"/>
    <x v="2"/>
    <s v="Debit Card"/>
    <n v="4.7"/>
  </r>
  <r>
    <s v="C0478"/>
    <s v="Rahul Sharma"/>
    <s v="Chair"/>
    <x v="5"/>
    <n v="1"/>
    <n v="4338"/>
    <x v="477"/>
    <x v="54"/>
    <x v="3"/>
    <s v="Credit Card"/>
    <n v="4"/>
  </r>
  <r>
    <s v="C0479"/>
    <s v="Arjun Sharma"/>
    <s v="Headphones"/>
    <x v="0"/>
    <n v="3"/>
    <n v="47266"/>
    <x v="478"/>
    <x v="102"/>
    <x v="5"/>
    <s v="UPI"/>
    <n v="3.5"/>
  </r>
  <r>
    <s v="C0480"/>
    <s v="Aarav Singh"/>
    <s v="Keyboard"/>
    <x v="0"/>
    <n v="1"/>
    <n v="19616"/>
    <x v="479"/>
    <x v="137"/>
    <x v="0"/>
    <s v="Net Banking"/>
    <n v="3.4"/>
  </r>
  <r>
    <s v="C0481"/>
    <s v="Meera Patel"/>
    <s v="Watch"/>
    <x v="1"/>
    <n v="3"/>
    <n v="35247"/>
    <x v="480"/>
    <x v="38"/>
    <x v="6"/>
    <s v="Debit Card"/>
    <n v="3.4"/>
  </r>
  <r>
    <s v="C0482"/>
    <s v="Riya Singh"/>
    <s v="Bag"/>
    <x v="1"/>
    <n v="2"/>
    <n v="14056"/>
    <x v="481"/>
    <x v="108"/>
    <x v="2"/>
    <s v="Net Banking"/>
    <n v="4.2"/>
  </r>
  <r>
    <s v="C0483"/>
    <s v="Aarav Patel"/>
    <s v="Chair"/>
    <x v="5"/>
    <n v="5"/>
    <n v="10710"/>
    <x v="482"/>
    <x v="115"/>
    <x v="6"/>
    <s v="Cash on Delivery"/>
    <n v="3.9"/>
  </r>
  <r>
    <s v="C0484"/>
    <s v="Rahul Sharma"/>
    <s v="Mobile"/>
    <x v="0"/>
    <n v="2"/>
    <n v="22345"/>
    <x v="483"/>
    <x v="150"/>
    <x v="4"/>
    <s v="UPI"/>
    <n v="4.2"/>
  </r>
  <r>
    <s v="C0485"/>
    <s v="Suresh Reddy"/>
    <s v="Tablet"/>
    <x v="0"/>
    <n v="2"/>
    <n v="15713"/>
    <x v="484"/>
    <x v="118"/>
    <x v="2"/>
    <s v="Debit Card"/>
    <n v="3.7"/>
  </r>
  <r>
    <s v="C0486"/>
    <s v="Divya Reddy"/>
    <s v="Laptop"/>
    <x v="0"/>
    <n v="1"/>
    <n v="30560"/>
    <x v="485"/>
    <x v="139"/>
    <x v="5"/>
    <s v="UPI"/>
    <n v="3.7"/>
  </r>
  <r>
    <s v="C0487"/>
    <s v="Suresh Sharma"/>
    <s v="Headphones"/>
    <x v="0"/>
    <n v="5"/>
    <n v="14259"/>
    <x v="486"/>
    <x v="124"/>
    <x v="3"/>
    <s v="Net Banking"/>
    <n v="3.7"/>
  </r>
  <r>
    <s v="C0488"/>
    <s v="Priya Sharma"/>
    <s v="T-Shirt"/>
    <x v="2"/>
    <n v="2"/>
    <n v="13417"/>
    <x v="487"/>
    <x v="140"/>
    <x v="3"/>
    <s v="Net Banking"/>
    <n v="3.5"/>
  </r>
  <r>
    <s v="C0489"/>
    <s v="Kiran Singh"/>
    <s v="T-Shirt"/>
    <x v="2"/>
    <n v="1"/>
    <n v="39101"/>
    <x v="488"/>
    <x v="164"/>
    <x v="4"/>
    <s v="Debit Card"/>
    <n v="4.7"/>
  </r>
  <r>
    <s v="C0490"/>
    <s v="Kiran Sharma"/>
    <s v="Watch"/>
    <x v="1"/>
    <n v="5"/>
    <n v="5574"/>
    <x v="489"/>
    <x v="152"/>
    <x v="5"/>
    <s v="UPI"/>
    <n v="4.0999999999999996"/>
  </r>
  <r>
    <s v="C0491"/>
    <s v="Suresh Patel"/>
    <s v="Laptop"/>
    <x v="0"/>
    <n v="1"/>
    <n v="23378"/>
    <x v="490"/>
    <x v="47"/>
    <x v="4"/>
    <s v="Net Banking"/>
    <n v="3.7"/>
  </r>
  <r>
    <s v="C0492"/>
    <s v="Divya Singh"/>
    <s v="Laptop"/>
    <x v="0"/>
    <n v="2"/>
    <n v="45472"/>
    <x v="491"/>
    <x v="22"/>
    <x v="3"/>
    <s v="UPI"/>
    <n v="4.4000000000000004"/>
  </r>
  <r>
    <s v="C0493"/>
    <s v="Diya Singh"/>
    <s v="Watch"/>
    <x v="1"/>
    <n v="1"/>
    <n v="6902"/>
    <x v="492"/>
    <x v="164"/>
    <x v="3"/>
    <s v="Credit Card"/>
    <n v="3"/>
  </r>
  <r>
    <s v="C0494"/>
    <s v="Ananya Reddy"/>
    <s v="Mixer"/>
    <x v="4"/>
    <n v="4"/>
    <n v="13696"/>
    <x v="493"/>
    <x v="68"/>
    <x v="0"/>
    <s v="Debit Card"/>
    <n v="3.7"/>
  </r>
  <r>
    <s v="C0495"/>
    <s v="Neha Patel"/>
    <s v="Headphones"/>
    <x v="0"/>
    <n v="3"/>
    <n v="8479"/>
    <x v="494"/>
    <x v="124"/>
    <x v="2"/>
    <s v="Credit Card"/>
    <n v="3.6"/>
  </r>
  <r>
    <s v="C0496"/>
    <s v="Divya Singh"/>
    <s v="T-Shirt"/>
    <x v="2"/>
    <n v="1"/>
    <n v="39492"/>
    <x v="495"/>
    <x v="17"/>
    <x v="2"/>
    <s v="Cash on Delivery"/>
    <n v="4.0999999999999996"/>
  </r>
  <r>
    <s v="C0497"/>
    <s v="Rohit Patel"/>
    <s v="Keyboard"/>
    <x v="0"/>
    <n v="2"/>
    <n v="40123"/>
    <x v="496"/>
    <x v="5"/>
    <x v="2"/>
    <s v="Credit Card"/>
    <n v="4"/>
  </r>
  <r>
    <s v="C0498"/>
    <s v="Aisha Sharma"/>
    <s v="Laptop"/>
    <x v="0"/>
    <n v="2"/>
    <n v="15181"/>
    <x v="497"/>
    <x v="34"/>
    <x v="2"/>
    <s v="UPI"/>
    <n v="3.9"/>
  </r>
  <r>
    <s v="C0499"/>
    <s v="Priya Sharma"/>
    <s v="T-Shirt"/>
    <x v="2"/>
    <n v="4"/>
    <n v="34426"/>
    <x v="498"/>
    <x v="116"/>
    <x v="6"/>
    <s v="Cash on Delivery"/>
    <n v="4"/>
  </r>
  <r>
    <s v="C0500"/>
    <s v="Meera Reddy"/>
    <s v="Chair"/>
    <x v="5"/>
    <n v="4"/>
    <n v="35958"/>
    <x v="499"/>
    <x v="124"/>
    <x v="3"/>
    <s v="Credit Card"/>
    <n v="4.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
  <r>
    <x v="0"/>
    <x v="0"/>
    <x v="0"/>
  </r>
  <r>
    <x v="1"/>
    <x v="1"/>
    <x v="1"/>
  </r>
  <r>
    <x v="2"/>
    <x v="2"/>
    <x v="2"/>
  </r>
  <r>
    <x v="3"/>
    <x v="3"/>
    <x v="3"/>
  </r>
  <r>
    <x v="4"/>
    <x v="4"/>
    <x v="4"/>
  </r>
  <r>
    <x v="5"/>
    <x v="5"/>
    <x v="5"/>
  </r>
  <r>
    <x v="6"/>
    <x v="6"/>
    <x v="6"/>
  </r>
  <r>
    <x v="7"/>
    <x v="7"/>
    <x v="7"/>
  </r>
  <r>
    <x v="8"/>
    <x v="8"/>
    <x v="8"/>
  </r>
  <r>
    <x v="9"/>
    <x v="9"/>
    <x v="9"/>
  </r>
  <r>
    <x v="10"/>
    <x v="10"/>
    <x v="10"/>
  </r>
  <r>
    <x v="11"/>
    <x v="11"/>
    <x v="11"/>
  </r>
  <r>
    <x v="12"/>
    <x v="12"/>
    <x v="1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x v="0"/>
    <n v="1"/>
    <x v="0"/>
  </r>
  <r>
    <x v="0"/>
    <x v="1"/>
    <n v="5"/>
    <x v="1"/>
  </r>
  <r>
    <x v="1"/>
    <x v="0"/>
    <n v="5"/>
    <x v="2"/>
  </r>
  <r>
    <x v="2"/>
    <x v="0"/>
    <n v="3"/>
    <x v="3"/>
  </r>
  <r>
    <x v="3"/>
    <x v="1"/>
    <n v="4"/>
    <x v="4"/>
  </r>
  <r>
    <x v="3"/>
    <x v="0"/>
    <n v="5"/>
    <x v="5"/>
  </r>
  <r>
    <x v="4"/>
    <x v="0"/>
    <n v="1"/>
    <x v="6"/>
  </r>
  <r>
    <x v="5"/>
    <x v="2"/>
    <n v="2"/>
    <x v="7"/>
  </r>
  <r>
    <x v="0"/>
    <x v="3"/>
    <n v="5"/>
    <x v="8"/>
  </r>
  <r>
    <x v="6"/>
    <x v="4"/>
    <n v="1"/>
    <x v="9"/>
  </r>
  <r>
    <x v="7"/>
    <x v="1"/>
    <n v="4"/>
    <x v="10"/>
  </r>
  <r>
    <x v="8"/>
    <x v="2"/>
    <n v="3"/>
    <x v="11"/>
  </r>
  <r>
    <x v="1"/>
    <x v="0"/>
    <n v="1"/>
    <x v="12"/>
  </r>
  <r>
    <x v="3"/>
    <x v="2"/>
    <n v="4"/>
    <x v="13"/>
  </r>
  <r>
    <x v="3"/>
    <x v="2"/>
    <n v="4"/>
    <x v="14"/>
  </r>
  <r>
    <x v="3"/>
    <x v="3"/>
    <n v="1"/>
    <x v="15"/>
  </r>
  <r>
    <x v="0"/>
    <x v="4"/>
    <n v="4"/>
    <x v="16"/>
  </r>
  <r>
    <x v="9"/>
    <x v="3"/>
    <n v="1"/>
    <x v="17"/>
  </r>
  <r>
    <x v="6"/>
    <x v="1"/>
    <n v="4"/>
    <x v="18"/>
  </r>
  <r>
    <x v="10"/>
    <x v="4"/>
    <n v="2"/>
    <x v="19"/>
  </r>
  <r>
    <x v="9"/>
    <x v="4"/>
    <n v="5"/>
    <x v="20"/>
  </r>
  <r>
    <x v="10"/>
    <x v="5"/>
    <n v="4"/>
    <x v="21"/>
  </r>
  <r>
    <x v="7"/>
    <x v="0"/>
    <n v="1"/>
    <x v="22"/>
  </r>
  <r>
    <x v="1"/>
    <x v="4"/>
    <n v="1"/>
    <x v="23"/>
  </r>
  <r>
    <x v="2"/>
    <x v="4"/>
    <n v="3"/>
    <x v="24"/>
  </r>
  <r>
    <x v="10"/>
    <x v="0"/>
    <n v="4"/>
    <x v="25"/>
  </r>
  <r>
    <x v="3"/>
    <x v="1"/>
    <n v="4"/>
    <x v="26"/>
  </r>
  <r>
    <x v="3"/>
    <x v="5"/>
    <n v="4"/>
    <x v="27"/>
  </r>
  <r>
    <x v="0"/>
    <x v="0"/>
    <n v="1"/>
    <x v="28"/>
  </r>
  <r>
    <x v="5"/>
    <x v="4"/>
    <n v="5"/>
    <x v="29"/>
  </r>
  <r>
    <x v="0"/>
    <x v="1"/>
    <n v="4"/>
    <x v="30"/>
  </r>
  <r>
    <x v="9"/>
    <x v="2"/>
    <n v="3"/>
    <x v="31"/>
  </r>
  <r>
    <x v="11"/>
    <x v="3"/>
    <n v="2"/>
    <x v="32"/>
  </r>
  <r>
    <x v="3"/>
    <x v="2"/>
    <n v="5"/>
    <x v="33"/>
  </r>
  <r>
    <x v="10"/>
    <x v="0"/>
    <n v="4"/>
    <x v="34"/>
  </r>
  <r>
    <x v="1"/>
    <x v="2"/>
    <n v="1"/>
    <x v="35"/>
  </r>
  <r>
    <x v="0"/>
    <x v="1"/>
    <n v="2"/>
    <x v="36"/>
  </r>
  <r>
    <x v="9"/>
    <x v="2"/>
    <n v="5"/>
    <x v="37"/>
  </r>
  <r>
    <x v="0"/>
    <x v="0"/>
    <n v="1"/>
    <x v="38"/>
  </r>
  <r>
    <x v="11"/>
    <x v="5"/>
    <n v="1"/>
    <x v="39"/>
  </r>
  <r>
    <x v="11"/>
    <x v="0"/>
    <n v="2"/>
    <x v="40"/>
  </r>
  <r>
    <x v="2"/>
    <x v="3"/>
    <n v="2"/>
    <x v="41"/>
  </r>
  <r>
    <x v="5"/>
    <x v="4"/>
    <n v="4"/>
    <x v="42"/>
  </r>
  <r>
    <x v="0"/>
    <x v="0"/>
    <n v="1"/>
    <x v="43"/>
  </r>
  <r>
    <x v="0"/>
    <x v="1"/>
    <n v="1"/>
    <x v="44"/>
  </r>
  <r>
    <x v="6"/>
    <x v="0"/>
    <n v="2"/>
    <x v="45"/>
  </r>
  <r>
    <x v="5"/>
    <x v="4"/>
    <n v="4"/>
    <x v="46"/>
  </r>
  <r>
    <x v="11"/>
    <x v="1"/>
    <n v="2"/>
    <x v="47"/>
  </r>
  <r>
    <x v="6"/>
    <x v="2"/>
    <n v="5"/>
    <x v="48"/>
  </r>
  <r>
    <x v="4"/>
    <x v="2"/>
    <n v="4"/>
    <x v="49"/>
  </r>
  <r>
    <x v="5"/>
    <x v="0"/>
    <n v="5"/>
    <x v="50"/>
  </r>
  <r>
    <x v="11"/>
    <x v="4"/>
    <n v="2"/>
    <x v="51"/>
  </r>
  <r>
    <x v="0"/>
    <x v="1"/>
    <n v="4"/>
    <x v="52"/>
  </r>
  <r>
    <x v="8"/>
    <x v="1"/>
    <n v="4"/>
    <x v="53"/>
  </r>
  <r>
    <x v="10"/>
    <x v="0"/>
    <n v="4"/>
    <x v="54"/>
  </r>
  <r>
    <x v="6"/>
    <x v="5"/>
    <n v="5"/>
    <x v="55"/>
  </r>
  <r>
    <x v="9"/>
    <x v="4"/>
    <n v="1"/>
    <x v="56"/>
  </r>
  <r>
    <x v="4"/>
    <x v="4"/>
    <n v="4"/>
    <x v="57"/>
  </r>
  <r>
    <x v="6"/>
    <x v="2"/>
    <n v="5"/>
    <x v="58"/>
  </r>
  <r>
    <x v="1"/>
    <x v="0"/>
    <n v="2"/>
    <x v="59"/>
  </r>
  <r>
    <x v="9"/>
    <x v="4"/>
    <n v="1"/>
    <x v="60"/>
  </r>
  <r>
    <x v="9"/>
    <x v="0"/>
    <n v="4"/>
    <x v="61"/>
  </r>
  <r>
    <x v="5"/>
    <x v="1"/>
    <n v="4"/>
    <x v="62"/>
  </r>
  <r>
    <x v="3"/>
    <x v="1"/>
    <n v="4"/>
    <x v="63"/>
  </r>
  <r>
    <x v="0"/>
    <x v="0"/>
    <n v="5"/>
    <x v="64"/>
  </r>
  <r>
    <x v="8"/>
    <x v="5"/>
    <n v="1"/>
    <x v="65"/>
  </r>
  <r>
    <x v="3"/>
    <x v="1"/>
    <n v="1"/>
    <x v="66"/>
  </r>
  <r>
    <x v="5"/>
    <x v="4"/>
    <n v="3"/>
    <x v="67"/>
  </r>
  <r>
    <x v="7"/>
    <x v="1"/>
    <n v="1"/>
    <x v="68"/>
  </r>
  <r>
    <x v="7"/>
    <x v="2"/>
    <n v="5"/>
    <x v="69"/>
  </r>
  <r>
    <x v="1"/>
    <x v="3"/>
    <n v="3"/>
    <x v="70"/>
  </r>
  <r>
    <x v="3"/>
    <x v="4"/>
    <n v="4"/>
    <x v="71"/>
  </r>
  <r>
    <x v="7"/>
    <x v="4"/>
    <n v="3"/>
    <x v="72"/>
  </r>
  <r>
    <x v="3"/>
    <x v="4"/>
    <n v="3"/>
    <x v="73"/>
  </r>
  <r>
    <x v="10"/>
    <x v="4"/>
    <n v="1"/>
    <x v="74"/>
  </r>
  <r>
    <x v="7"/>
    <x v="4"/>
    <n v="1"/>
    <x v="75"/>
  </r>
  <r>
    <x v="8"/>
    <x v="5"/>
    <n v="4"/>
    <x v="76"/>
  </r>
  <r>
    <x v="2"/>
    <x v="1"/>
    <n v="2"/>
    <x v="77"/>
  </r>
  <r>
    <x v="4"/>
    <x v="5"/>
    <n v="5"/>
    <x v="78"/>
  </r>
  <r>
    <x v="1"/>
    <x v="3"/>
    <n v="1"/>
    <x v="79"/>
  </r>
  <r>
    <x v="6"/>
    <x v="4"/>
    <n v="1"/>
    <x v="80"/>
  </r>
  <r>
    <x v="9"/>
    <x v="2"/>
    <n v="1"/>
    <x v="81"/>
  </r>
  <r>
    <x v="3"/>
    <x v="0"/>
    <n v="5"/>
    <x v="82"/>
  </r>
  <r>
    <x v="2"/>
    <x v="0"/>
    <n v="5"/>
    <x v="83"/>
  </r>
  <r>
    <x v="4"/>
    <x v="4"/>
    <n v="1"/>
    <x v="84"/>
  </r>
  <r>
    <x v="5"/>
    <x v="2"/>
    <n v="5"/>
    <x v="85"/>
  </r>
  <r>
    <x v="4"/>
    <x v="0"/>
    <n v="4"/>
    <x v="86"/>
  </r>
  <r>
    <x v="4"/>
    <x v="2"/>
    <n v="3"/>
    <x v="87"/>
  </r>
  <r>
    <x v="5"/>
    <x v="0"/>
    <n v="1"/>
    <x v="88"/>
  </r>
  <r>
    <x v="8"/>
    <x v="2"/>
    <n v="3"/>
    <x v="89"/>
  </r>
  <r>
    <x v="9"/>
    <x v="4"/>
    <n v="1"/>
    <x v="90"/>
  </r>
  <r>
    <x v="6"/>
    <x v="3"/>
    <n v="1"/>
    <x v="91"/>
  </r>
  <r>
    <x v="10"/>
    <x v="4"/>
    <n v="1"/>
    <x v="92"/>
  </r>
  <r>
    <x v="9"/>
    <x v="1"/>
    <n v="5"/>
    <x v="93"/>
  </r>
  <r>
    <x v="11"/>
    <x v="5"/>
    <n v="3"/>
    <x v="94"/>
  </r>
  <r>
    <x v="0"/>
    <x v="1"/>
    <n v="1"/>
    <x v="95"/>
  </r>
  <r>
    <x v="7"/>
    <x v="4"/>
    <n v="3"/>
    <x v="96"/>
  </r>
  <r>
    <x v="2"/>
    <x v="0"/>
    <n v="4"/>
    <x v="97"/>
  </r>
  <r>
    <x v="11"/>
    <x v="3"/>
    <n v="3"/>
    <x v="98"/>
  </r>
  <r>
    <x v="10"/>
    <x v="4"/>
    <n v="5"/>
    <x v="99"/>
  </r>
  <r>
    <x v="3"/>
    <x v="2"/>
    <n v="5"/>
    <x v="100"/>
  </r>
  <r>
    <x v="11"/>
    <x v="1"/>
    <n v="2"/>
    <x v="101"/>
  </r>
  <r>
    <x v="0"/>
    <x v="2"/>
    <n v="5"/>
    <x v="102"/>
  </r>
  <r>
    <x v="10"/>
    <x v="3"/>
    <n v="4"/>
    <x v="103"/>
  </r>
  <r>
    <x v="6"/>
    <x v="0"/>
    <n v="1"/>
    <x v="104"/>
  </r>
  <r>
    <x v="10"/>
    <x v="5"/>
    <n v="1"/>
    <x v="105"/>
  </r>
  <r>
    <x v="2"/>
    <x v="2"/>
    <n v="5"/>
    <x v="106"/>
  </r>
  <r>
    <x v="3"/>
    <x v="2"/>
    <n v="3"/>
    <x v="107"/>
  </r>
  <r>
    <x v="9"/>
    <x v="0"/>
    <n v="3"/>
    <x v="108"/>
  </r>
  <r>
    <x v="1"/>
    <x v="5"/>
    <n v="1"/>
    <x v="109"/>
  </r>
  <r>
    <x v="2"/>
    <x v="0"/>
    <n v="1"/>
    <x v="110"/>
  </r>
  <r>
    <x v="7"/>
    <x v="0"/>
    <n v="2"/>
    <x v="111"/>
  </r>
  <r>
    <x v="7"/>
    <x v="0"/>
    <n v="1"/>
    <x v="112"/>
  </r>
  <r>
    <x v="11"/>
    <x v="4"/>
    <n v="1"/>
    <x v="113"/>
  </r>
  <r>
    <x v="9"/>
    <x v="5"/>
    <n v="2"/>
    <x v="114"/>
  </r>
  <r>
    <x v="2"/>
    <x v="2"/>
    <n v="5"/>
    <x v="115"/>
  </r>
  <r>
    <x v="0"/>
    <x v="0"/>
    <n v="4"/>
    <x v="116"/>
  </r>
  <r>
    <x v="5"/>
    <x v="4"/>
    <n v="5"/>
    <x v="117"/>
  </r>
  <r>
    <x v="0"/>
    <x v="1"/>
    <n v="5"/>
    <x v="118"/>
  </r>
  <r>
    <x v="9"/>
    <x v="0"/>
    <n v="1"/>
    <x v="119"/>
  </r>
  <r>
    <x v="8"/>
    <x v="4"/>
    <n v="2"/>
    <x v="120"/>
  </r>
  <r>
    <x v="5"/>
    <x v="1"/>
    <n v="2"/>
    <x v="121"/>
  </r>
  <r>
    <x v="0"/>
    <x v="5"/>
    <n v="3"/>
    <x v="122"/>
  </r>
  <r>
    <x v="4"/>
    <x v="3"/>
    <n v="2"/>
    <x v="123"/>
  </r>
  <r>
    <x v="6"/>
    <x v="0"/>
    <n v="5"/>
    <x v="124"/>
  </r>
  <r>
    <x v="7"/>
    <x v="5"/>
    <n v="4"/>
    <x v="125"/>
  </r>
  <r>
    <x v="3"/>
    <x v="2"/>
    <n v="2"/>
    <x v="126"/>
  </r>
  <r>
    <x v="0"/>
    <x v="3"/>
    <n v="4"/>
    <x v="127"/>
  </r>
  <r>
    <x v="1"/>
    <x v="4"/>
    <n v="1"/>
    <x v="128"/>
  </r>
  <r>
    <x v="10"/>
    <x v="3"/>
    <n v="2"/>
    <x v="129"/>
  </r>
  <r>
    <x v="10"/>
    <x v="2"/>
    <n v="2"/>
    <x v="130"/>
  </r>
  <r>
    <x v="10"/>
    <x v="1"/>
    <n v="3"/>
    <x v="131"/>
  </r>
  <r>
    <x v="10"/>
    <x v="2"/>
    <n v="2"/>
    <x v="132"/>
  </r>
  <r>
    <x v="11"/>
    <x v="5"/>
    <n v="3"/>
    <x v="133"/>
  </r>
  <r>
    <x v="0"/>
    <x v="0"/>
    <n v="1"/>
    <x v="134"/>
  </r>
  <r>
    <x v="3"/>
    <x v="4"/>
    <n v="5"/>
    <x v="135"/>
  </r>
  <r>
    <x v="2"/>
    <x v="2"/>
    <n v="5"/>
    <x v="136"/>
  </r>
  <r>
    <x v="9"/>
    <x v="0"/>
    <n v="5"/>
    <x v="137"/>
  </r>
  <r>
    <x v="5"/>
    <x v="4"/>
    <n v="1"/>
    <x v="138"/>
  </r>
  <r>
    <x v="1"/>
    <x v="0"/>
    <n v="2"/>
    <x v="139"/>
  </r>
  <r>
    <x v="10"/>
    <x v="1"/>
    <n v="5"/>
    <x v="140"/>
  </r>
  <r>
    <x v="5"/>
    <x v="3"/>
    <n v="5"/>
    <x v="141"/>
  </r>
  <r>
    <x v="6"/>
    <x v="3"/>
    <n v="4"/>
    <x v="142"/>
  </r>
  <r>
    <x v="6"/>
    <x v="1"/>
    <n v="3"/>
    <x v="143"/>
  </r>
  <r>
    <x v="2"/>
    <x v="0"/>
    <n v="5"/>
    <x v="144"/>
  </r>
  <r>
    <x v="2"/>
    <x v="2"/>
    <n v="1"/>
    <x v="145"/>
  </r>
  <r>
    <x v="11"/>
    <x v="3"/>
    <n v="3"/>
    <x v="146"/>
  </r>
  <r>
    <x v="1"/>
    <x v="4"/>
    <n v="3"/>
    <x v="147"/>
  </r>
  <r>
    <x v="1"/>
    <x v="4"/>
    <n v="1"/>
    <x v="148"/>
  </r>
  <r>
    <x v="7"/>
    <x v="1"/>
    <n v="5"/>
    <x v="149"/>
  </r>
  <r>
    <x v="6"/>
    <x v="0"/>
    <n v="5"/>
    <x v="150"/>
  </r>
  <r>
    <x v="4"/>
    <x v="1"/>
    <n v="5"/>
    <x v="151"/>
  </r>
  <r>
    <x v="1"/>
    <x v="1"/>
    <n v="4"/>
    <x v="152"/>
  </r>
  <r>
    <x v="2"/>
    <x v="0"/>
    <n v="1"/>
    <x v="153"/>
  </r>
  <r>
    <x v="7"/>
    <x v="1"/>
    <n v="5"/>
    <x v="154"/>
  </r>
  <r>
    <x v="2"/>
    <x v="2"/>
    <n v="4"/>
    <x v="155"/>
  </r>
  <r>
    <x v="4"/>
    <x v="2"/>
    <n v="3"/>
    <x v="156"/>
  </r>
  <r>
    <x v="9"/>
    <x v="0"/>
    <n v="1"/>
    <x v="157"/>
  </r>
  <r>
    <x v="8"/>
    <x v="4"/>
    <n v="3"/>
    <x v="158"/>
  </r>
  <r>
    <x v="0"/>
    <x v="2"/>
    <n v="4"/>
    <x v="159"/>
  </r>
  <r>
    <x v="10"/>
    <x v="3"/>
    <n v="1"/>
    <x v="160"/>
  </r>
  <r>
    <x v="4"/>
    <x v="1"/>
    <n v="1"/>
    <x v="161"/>
  </r>
  <r>
    <x v="0"/>
    <x v="3"/>
    <n v="1"/>
    <x v="162"/>
  </r>
  <r>
    <x v="9"/>
    <x v="0"/>
    <n v="2"/>
    <x v="163"/>
  </r>
  <r>
    <x v="11"/>
    <x v="0"/>
    <n v="5"/>
    <x v="164"/>
  </r>
  <r>
    <x v="3"/>
    <x v="5"/>
    <n v="2"/>
    <x v="165"/>
  </r>
  <r>
    <x v="8"/>
    <x v="2"/>
    <n v="2"/>
    <x v="166"/>
  </r>
  <r>
    <x v="6"/>
    <x v="4"/>
    <n v="4"/>
    <x v="167"/>
  </r>
  <r>
    <x v="0"/>
    <x v="0"/>
    <n v="4"/>
    <x v="168"/>
  </r>
  <r>
    <x v="9"/>
    <x v="2"/>
    <n v="1"/>
    <x v="169"/>
  </r>
  <r>
    <x v="8"/>
    <x v="3"/>
    <n v="1"/>
    <x v="170"/>
  </r>
  <r>
    <x v="2"/>
    <x v="3"/>
    <n v="2"/>
    <x v="171"/>
  </r>
  <r>
    <x v="8"/>
    <x v="5"/>
    <n v="4"/>
    <x v="172"/>
  </r>
  <r>
    <x v="10"/>
    <x v="3"/>
    <n v="4"/>
    <x v="173"/>
  </r>
  <r>
    <x v="10"/>
    <x v="2"/>
    <n v="3"/>
    <x v="174"/>
  </r>
  <r>
    <x v="4"/>
    <x v="2"/>
    <n v="3"/>
    <x v="175"/>
  </r>
  <r>
    <x v="3"/>
    <x v="3"/>
    <n v="4"/>
    <x v="176"/>
  </r>
  <r>
    <x v="5"/>
    <x v="1"/>
    <n v="4"/>
    <x v="177"/>
  </r>
  <r>
    <x v="11"/>
    <x v="3"/>
    <n v="2"/>
    <x v="178"/>
  </r>
  <r>
    <x v="3"/>
    <x v="3"/>
    <n v="5"/>
    <x v="179"/>
  </r>
  <r>
    <x v="4"/>
    <x v="4"/>
    <n v="1"/>
    <x v="180"/>
  </r>
  <r>
    <x v="11"/>
    <x v="2"/>
    <n v="2"/>
    <x v="181"/>
  </r>
  <r>
    <x v="7"/>
    <x v="1"/>
    <n v="4"/>
    <x v="182"/>
  </r>
  <r>
    <x v="8"/>
    <x v="0"/>
    <n v="2"/>
    <x v="183"/>
  </r>
  <r>
    <x v="0"/>
    <x v="0"/>
    <n v="3"/>
    <x v="184"/>
  </r>
  <r>
    <x v="8"/>
    <x v="3"/>
    <n v="1"/>
    <x v="185"/>
  </r>
  <r>
    <x v="1"/>
    <x v="3"/>
    <n v="2"/>
    <x v="186"/>
  </r>
  <r>
    <x v="9"/>
    <x v="2"/>
    <n v="5"/>
    <x v="187"/>
  </r>
  <r>
    <x v="6"/>
    <x v="5"/>
    <n v="5"/>
    <x v="188"/>
  </r>
  <r>
    <x v="4"/>
    <x v="0"/>
    <n v="2"/>
    <x v="189"/>
  </r>
  <r>
    <x v="9"/>
    <x v="3"/>
    <n v="2"/>
    <x v="190"/>
  </r>
  <r>
    <x v="7"/>
    <x v="1"/>
    <n v="2"/>
    <x v="191"/>
  </r>
  <r>
    <x v="10"/>
    <x v="5"/>
    <n v="1"/>
    <x v="192"/>
  </r>
  <r>
    <x v="3"/>
    <x v="0"/>
    <n v="3"/>
    <x v="193"/>
  </r>
  <r>
    <x v="2"/>
    <x v="4"/>
    <n v="4"/>
    <x v="194"/>
  </r>
  <r>
    <x v="6"/>
    <x v="4"/>
    <n v="4"/>
    <x v="195"/>
  </r>
  <r>
    <x v="9"/>
    <x v="3"/>
    <n v="5"/>
    <x v="196"/>
  </r>
  <r>
    <x v="8"/>
    <x v="1"/>
    <n v="5"/>
    <x v="197"/>
  </r>
  <r>
    <x v="2"/>
    <x v="1"/>
    <n v="4"/>
    <x v="198"/>
  </r>
  <r>
    <x v="8"/>
    <x v="4"/>
    <n v="4"/>
    <x v="199"/>
  </r>
  <r>
    <x v="7"/>
    <x v="2"/>
    <n v="3"/>
    <x v="200"/>
  </r>
  <r>
    <x v="7"/>
    <x v="2"/>
    <n v="4"/>
    <x v="201"/>
  </r>
  <r>
    <x v="10"/>
    <x v="2"/>
    <n v="4"/>
    <x v="202"/>
  </r>
  <r>
    <x v="3"/>
    <x v="4"/>
    <n v="5"/>
    <x v="203"/>
  </r>
  <r>
    <x v="2"/>
    <x v="4"/>
    <n v="3"/>
    <x v="204"/>
  </r>
  <r>
    <x v="11"/>
    <x v="5"/>
    <n v="4"/>
    <x v="205"/>
  </r>
  <r>
    <x v="3"/>
    <x v="0"/>
    <n v="5"/>
    <x v="206"/>
  </r>
  <r>
    <x v="8"/>
    <x v="1"/>
    <n v="4"/>
    <x v="207"/>
  </r>
  <r>
    <x v="5"/>
    <x v="0"/>
    <n v="4"/>
    <x v="208"/>
  </r>
  <r>
    <x v="9"/>
    <x v="2"/>
    <n v="2"/>
    <x v="209"/>
  </r>
  <r>
    <x v="9"/>
    <x v="4"/>
    <n v="4"/>
    <x v="210"/>
  </r>
  <r>
    <x v="9"/>
    <x v="1"/>
    <n v="4"/>
    <x v="211"/>
  </r>
  <r>
    <x v="8"/>
    <x v="0"/>
    <n v="5"/>
    <x v="212"/>
  </r>
  <r>
    <x v="3"/>
    <x v="1"/>
    <n v="2"/>
    <x v="28"/>
  </r>
  <r>
    <x v="11"/>
    <x v="0"/>
    <n v="4"/>
    <x v="213"/>
  </r>
  <r>
    <x v="4"/>
    <x v="0"/>
    <n v="1"/>
    <x v="214"/>
  </r>
  <r>
    <x v="8"/>
    <x v="3"/>
    <n v="2"/>
    <x v="215"/>
  </r>
  <r>
    <x v="3"/>
    <x v="1"/>
    <n v="4"/>
    <x v="216"/>
  </r>
  <r>
    <x v="1"/>
    <x v="4"/>
    <n v="1"/>
    <x v="217"/>
  </r>
  <r>
    <x v="9"/>
    <x v="2"/>
    <n v="5"/>
    <x v="218"/>
  </r>
  <r>
    <x v="8"/>
    <x v="1"/>
    <n v="3"/>
    <x v="219"/>
  </r>
  <r>
    <x v="9"/>
    <x v="2"/>
    <n v="5"/>
    <x v="220"/>
  </r>
  <r>
    <x v="6"/>
    <x v="2"/>
    <n v="2"/>
    <x v="221"/>
  </r>
  <r>
    <x v="3"/>
    <x v="4"/>
    <n v="3"/>
    <x v="222"/>
  </r>
  <r>
    <x v="0"/>
    <x v="2"/>
    <n v="3"/>
    <x v="223"/>
  </r>
  <r>
    <x v="7"/>
    <x v="3"/>
    <n v="4"/>
    <x v="224"/>
  </r>
  <r>
    <x v="4"/>
    <x v="3"/>
    <n v="5"/>
    <x v="225"/>
  </r>
  <r>
    <x v="1"/>
    <x v="1"/>
    <n v="1"/>
    <x v="226"/>
  </r>
  <r>
    <x v="4"/>
    <x v="5"/>
    <n v="3"/>
    <x v="227"/>
  </r>
  <r>
    <x v="8"/>
    <x v="2"/>
    <n v="5"/>
    <x v="228"/>
  </r>
  <r>
    <x v="5"/>
    <x v="0"/>
    <n v="4"/>
    <x v="229"/>
  </r>
  <r>
    <x v="5"/>
    <x v="4"/>
    <n v="3"/>
    <x v="230"/>
  </r>
  <r>
    <x v="5"/>
    <x v="1"/>
    <n v="2"/>
    <x v="231"/>
  </r>
  <r>
    <x v="0"/>
    <x v="1"/>
    <n v="3"/>
    <x v="232"/>
  </r>
  <r>
    <x v="7"/>
    <x v="3"/>
    <n v="1"/>
    <x v="233"/>
  </r>
  <r>
    <x v="5"/>
    <x v="3"/>
    <n v="3"/>
    <x v="234"/>
  </r>
  <r>
    <x v="6"/>
    <x v="2"/>
    <n v="2"/>
    <x v="235"/>
  </r>
  <r>
    <x v="11"/>
    <x v="3"/>
    <n v="1"/>
    <x v="236"/>
  </r>
  <r>
    <x v="6"/>
    <x v="2"/>
    <n v="3"/>
    <x v="237"/>
  </r>
  <r>
    <x v="7"/>
    <x v="0"/>
    <n v="5"/>
    <x v="238"/>
  </r>
  <r>
    <x v="6"/>
    <x v="0"/>
    <n v="2"/>
    <x v="239"/>
  </r>
  <r>
    <x v="10"/>
    <x v="3"/>
    <n v="2"/>
    <x v="240"/>
  </r>
  <r>
    <x v="9"/>
    <x v="3"/>
    <n v="2"/>
    <x v="241"/>
  </r>
  <r>
    <x v="6"/>
    <x v="5"/>
    <n v="5"/>
    <x v="242"/>
  </r>
  <r>
    <x v="2"/>
    <x v="1"/>
    <n v="3"/>
    <x v="243"/>
  </r>
  <r>
    <x v="9"/>
    <x v="3"/>
    <n v="2"/>
    <x v="244"/>
  </r>
  <r>
    <x v="7"/>
    <x v="2"/>
    <n v="3"/>
    <x v="245"/>
  </r>
  <r>
    <x v="3"/>
    <x v="0"/>
    <n v="5"/>
    <x v="246"/>
  </r>
  <r>
    <x v="11"/>
    <x v="3"/>
    <n v="3"/>
    <x v="247"/>
  </r>
  <r>
    <x v="7"/>
    <x v="3"/>
    <n v="4"/>
    <x v="248"/>
  </r>
  <r>
    <x v="8"/>
    <x v="3"/>
    <n v="4"/>
    <x v="249"/>
  </r>
  <r>
    <x v="5"/>
    <x v="1"/>
    <n v="3"/>
    <x v="250"/>
  </r>
  <r>
    <x v="5"/>
    <x v="5"/>
    <n v="1"/>
    <x v="251"/>
  </r>
  <r>
    <x v="5"/>
    <x v="5"/>
    <n v="5"/>
    <x v="107"/>
  </r>
  <r>
    <x v="5"/>
    <x v="3"/>
    <n v="5"/>
    <x v="252"/>
  </r>
  <r>
    <x v="4"/>
    <x v="4"/>
    <n v="5"/>
    <x v="253"/>
  </r>
  <r>
    <x v="9"/>
    <x v="2"/>
    <n v="3"/>
    <x v="254"/>
  </r>
  <r>
    <x v="9"/>
    <x v="1"/>
    <n v="5"/>
    <x v="255"/>
  </r>
  <r>
    <x v="8"/>
    <x v="5"/>
    <n v="3"/>
    <x v="256"/>
  </r>
  <r>
    <x v="9"/>
    <x v="1"/>
    <n v="5"/>
    <x v="257"/>
  </r>
  <r>
    <x v="9"/>
    <x v="3"/>
    <n v="2"/>
    <x v="258"/>
  </r>
  <r>
    <x v="10"/>
    <x v="4"/>
    <n v="1"/>
    <x v="259"/>
  </r>
  <r>
    <x v="8"/>
    <x v="2"/>
    <n v="1"/>
    <x v="260"/>
  </r>
  <r>
    <x v="10"/>
    <x v="1"/>
    <n v="2"/>
    <x v="261"/>
  </r>
  <r>
    <x v="5"/>
    <x v="1"/>
    <n v="4"/>
    <x v="262"/>
  </r>
  <r>
    <x v="11"/>
    <x v="0"/>
    <n v="4"/>
    <x v="263"/>
  </r>
  <r>
    <x v="7"/>
    <x v="1"/>
    <n v="1"/>
    <x v="264"/>
  </r>
  <r>
    <x v="2"/>
    <x v="4"/>
    <n v="2"/>
    <x v="265"/>
  </r>
  <r>
    <x v="6"/>
    <x v="1"/>
    <n v="4"/>
    <x v="266"/>
  </r>
  <r>
    <x v="11"/>
    <x v="2"/>
    <n v="1"/>
    <x v="267"/>
  </r>
  <r>
    <x v="5"/>
    <x v="0"/>
    <n v="3"/>
    <x v="268"/>
  </r>
  <r>
    <x v="3"/>
    <x v="4"/>
    <n v="3"/>
    <x v="269"/>
  </r>
  <r>
    <x v="7"/>
    <x v="3"/>
    <n v="5"/>
    <x v="270"/>
  </r>
  <r>
    <x v="9"/>
    <x v="4"/>
    <n v="3"/>
    <x v="271"/>
  </r>
  <r>
    <x v="6"/>
    <x v="1"/>
    <n v="2"/>
    <x v="272"/>
  </r>
  <r>
    <x v="2"/>
    <x v="4"/>
    <n v="2"/>
    <x v="273"/>
  </r>
  <r>
    <x v="5"/>
    <x v="4"/>
    <n v="5"/>
    <x v="274"/>
  </r>
  <r>
    <x v="5"/>
    <x v="1"/>
    <n v="5"/>
    <x v="275"/>
  </r>
  <r>
    <x v="3"/>
    <x v="4"/>
    <n v="1"/>
    <x v="276"/>
  </r>
  <r>
    <x v="1"/>
    <x v="5"/>
    <n v="3"/>
    <x v="277"/>
  </r>
  <r>
    <x v="6"/>
    <x v="1"/>
    <n v="2"/>
    <x v="278"/>
  </r>
  <r>
    <x v="3"/>
    <x v="0"/>
    <n v="4"/>
    <x v="279"/>
  </r>
  <r>
    <x v="5"/>
    <x v="0"/>
    <n v="5"/>
    <x v="280"/>
  </r>
  <r>
    <x v="8"/>
    <x v="2"/>
    <n v="5"/>
    <x v="281"/>
  </r>
  <r>
    <x v="0"/>
    <x v="3"/>
    <n v="1"/>
    <x v="282"/>
  </r>
  <r>
    <x v="5"/>
    <x v="0"/>
    <n v="1"/>
    <x v="283"/>
  </r>
  <r>
    <x v="10"/>
    <x v="0"/>
    <n v="3"/>
    <x v="284"/>
  </r>
  <r>
    <x v="3"/>
    <x v="4"/>
    <n v="3"/>
    <x v="285"/>
  </r>
  <r>
    <x v="9"/>
    <x v="3"/>
    <n v="5"/>
    <x v="286"/>
  </r>
  <r>
    <x v="6"/>
    <x v="2"/>
    <n v="2"/>
    <x v="287"/>
  </r>
  <r>
    <x v="5"/>
    <x v="1"/>
    <n v="2"/>
    <x v="288"/>
  </r>
  <r>
    <x v="3"/>
    <x v="1"/>
    <n v="5"/>
    <x v="289"/>
  </r>
  <r>
    <x v="10"/>
    <x v="5"/>
    <n v="4"/>
    <x v="290"/>
  </r>
  <r>
    <x v="6"/>
    <x v="1"/>
    <n v="5"/>
    <x v="291"/>
  </r>
  <r>
    <x v="3"/>
    <x v="3"/>
    <n v="5"/>
    <x v="292"/>
  </r>
  <r>
    <x v="9"/>
    <x v="1"/>
    <n v="1"/>
    <x v="293"/>
  </r>
  <r>
    <x v="11"/>
    <x v="1"/>
    <n v="5"/>
    <x v="294"/>
  </r>
  <r>
    <x v="0"/>
    <x v="2"/>
    <n v="1"/>
    <x v="295"/>
  </r>
  <r>
    <x v="2"/>
    <x v="4"/>
    <n v="5"/>
    <x v="296"/>
  </r>
  <r>
    <x v="5"/>
    <x v="5"/>
    <n v="1"/>
    <x v="297"/>
  </r>
  <r>
    <x v="1"/>
    <x v="5"/>
    <n v="3"/>
    <x v="298"/>
  </r>
  <r>
    <x v="1"/>
    <x v="3"/>
    <n v="1"/>
    <x v="299"/>
  </r>
  <r>
    <x v="8"/>
    <x v="4"/>
    <n v="3"/>
    <x v="300"/>
  </r>
  <r>
    <x v="10"/>
    <x v="0"/>
    <n v="3"/>
    <x v="301"/>
  </r>
  <r>
    <x v="6"/>
    <x v="1"/>
    <n v="3"/>
    <x v="302"/>
  </r>
  <r>
    <x v="7"/>
    <x v="4"/>
    <n v="5"/>
    <x v="303"/>
  </r>
  <r>
    <x v="4"/>
    <x v="2"/>
    <n v="4"/>
    <x v="304"/>
  </r>
  <r>
    <x v="7"/>
    <x v="0"/>
    <n v="5"/>
    <x v="305"/>
  </r>
  <r>
    <x v="11"/>
    <x v="5"/>
    <n v="1"/>
    <x v="306"/>
  </r>
  <r>
    <x v="9"/>
    <x v="3"/>
    <n v="4"/>
    <x v="307"/>
  </r>
  <r>
    <x v="9"/>
    <x v="0"/>
    <n v="5"/>
    <x v="308"/>
  </r>
  <r>
    <x v="9"/>
    <x v="3"/>
    <n v="4"/>
    <x v="309"/>
  </r>
  <r>
    <x v="1"/>
    <x v="2"/>
    <n v="4"/>
    <x v="310"/>
  </r>
  <r>
    <x v="7"/>
    <x v="3"/>
    <n v="3"/>
    <x v="311"/>
  </r>
  <r>
    <x v="0"/>
    <x v="0"/>
    <n v="4"/>
    <x v="312"/>
  </r>
  <r>
    <x v="5"/>
    <x v="2"/>
    <n v="3"/>
    <x v="313"/>
  </r>
  <r>
    <x v="1"/>
    <x v="2"/>
    <n v="2"/>
    <x v="314"/>
  </r>
  <r>
    <x v="5"/>
    <x v="1"/>
    <n v="1"/>
    <x v="315"/>
  </r>
  <r>
    <x v="2"/>
    <x v="1"/>
    <n v="3"/>
    <x v="316"/>
  </r>
  <r>
    <x v="5"/>
    <x v="0"/>
    <n v="1"/>
    <x v="317"/>
  </r>
  <r>
    <x v="2"/>
    <x v="0"/>
    <n v="3"/>
    <x v="318"/>
  </r>
  <r>
    <x v="3"/>
    <x v="0"/>
    <n v="3"/>
    <x v="319"/>
  </r>
  <r>
    <x v="6"/>
    <x v="3"/>
    <n v="4"/>
    <x v="320"/>
  </r>
  <r>
    <x v="10"/>
    <x v="1"/>
    <n v="5"/>
    <x v="321"/>
  </r>
  <r>
    <x v="5"/>
    <x v="2"/>
    <n v="3"/>
    <x v="322"/>
  </r>
  <r>
    <x v="8"/>
    <x v="0"/>
    <n v="1"/>
    <x v="323"/>
  </r>
  <r>
    <x v="5"/>
    <x v="4"/>
    <n v="5"/>
    <x v="324"/>
  </r>
  <r>
    <x v="11"/>
    <x v="4"/>
    <n v="3"/>
    <x v="325"/>
  </r>
  <r>
    <x v="3"/>
    <x v="0"/>
    <n v="1"/>
    <x v="326"/>
  </r>
  <r>
    <x v="3"/>
    <x v="4"/>
    <n v="4"/>
    <x v="327"/>
  </r>
  <r>
    <x v="2"/>
    <x v="2"/>
    <n v="3"/>
    <x v="328"/>
  </r>
  <r>
    <x v="7"/>
    <x v="0"/>
    <n v="3"/>
    <x v="329"/>
  </r>
  <r>
    <x v="7"/>
    <x v="3"/>
    <n v="2"/>
    <x v="330"/>
  </r>
  <r>
    <x v="2"/>
    <x v="0"/>
    <n v="4"/>
    <x v="331"/>
  </r>
  <r>
    <x v="6"/>
    <x v="3"/>
    <n v="5"/>
    <x v="332"/>
  </r>
  <r>
    <x v="10"/>
    <x v="0"/>
    <n v="2"/>
    <x v="333"/>
  </r>
  <r>
    <x v="4"/>
    <x v="0"/>
    <n v="1"/>
    <x v="334"/>
  </r>
  <r>
    <x v="3"/>
    <x v="3"/>
    <n v="5"/>
    <x v="335"/>
  </r>
  <r>
    <x v="3"/>
    <x v="3"/>
    <n v="2"/>
    <x v="336"/>
  </r>
  <r>
    <x v="3"/>
    <x v="5"/>
    <n v="5"/>
    <x v="337"/>
  </r>
  <r>
    <x v="8"/>
    <x v="3"/>
    <n v="2"/>
    <x v="338"/>
  </r>
  <r>
    <x v="6"/>
    <x v="3"/>
    <n v="4"/>
    <x v="339"/>
  </r>
  <r>
    <x v="0"/>
    <x v="4"/>
    <n v="3"/>
    <x v="340"/>
  </r>
  <r>
    <x v="8"/>
    <x v="1"/>
    <n v="5"/>
    <x v="341"/>
  </r>
  <r>
    <x v="9"/>
    <x v="1"/>
    <n v="5"/>
    <x v="342"/>
  </r>
  <r>
    <x v="1"/>
    <x v="0"/>
    <n v="3"/>
    <x v="343"/>
  </r>
  <r>
    <x v="1"/>
    <x v="1"/>
    <n v="1"/>
    <x v="344"/>
  </r>
  <r>
    <x v="8"/>
    <x v="0"/>
    <n v="4"/>
    <x v="345"/>
  </r>
  <r>
    <x v="8"/>
    <x v="3"/>
    <n v="4"/>
    <x v="346"/>
  </r>
  <r>
    <x v="4"/>
    <x v="5"/>
    <n v="3"/>
    <x v="347"/>
  </r>
  <r>
    <x v="8"/>
    <x v="3"/>
    <n v="5"/>
    <x v="348"/>
  </r>
  <r>
    <x v="3"/>
    <x v="5"/>
    <n v="2"/>
    <x v="349"/>
  </r>
  <r>
    <x v="6"/>
    <x v="1"/>
    <n v="2"/>
    <x v="350"/>
  </r>
  <r>
    <x v="4"/>
    <x v="2"/>
    <n v="5"/>
    <x v="351"/>
  </r>
  <r>
    <x v="3"/>
    <x v="3"/>
    <n v="4"/>
    <x v="352"/>
  </r>
  <r>
    <x v="3"/>
    <x v="0"/>
    <n v="5"/>
    <x v="353"/>
  </r>
  <r>
    <x v="6"/>
    <x v="0"/>
    <n v="5"/>
    <x v="354"/>
  </r>
  <r>
    <x v="10"/>
    <x v="4"/>
    <n v="5"/>
    <x v="355"/>
  </r>
  <r>
    <x v="1"/>
    <x v="3"/>
    <n v="5"/>
    <x v="356"/>
  </r>
  <r>
    <x v="6"/>
    <x v="2"/>
    <n v="4"/>
    <x v="357"/>
  </r>
  <r>
    <x v="11"/>
    <x v="4"/>
    <n v="4"/>
    <x v="358"/>
  </r>
  <r>
    <x v="10"/>
    <x v="2"/>
    <n v="4"/>
    <x v="359"/>
  </r>
  <r>
    <x v="2"/>
    <x v="5"/>
    <n v="5"/>
    <x v="360"/>
  </r>
  <r>
    <x v="11"/>
    <x v="5"/>
    <n v="4"/>
    <x v="361"/>
  </r>
  <r>
    <x v="5"/>
    <x v="3"/>
    <n v="2"/>
    <x v="362"/>
  </r>
  <r>
    <x v="6"/>
    <x v="1"/>
    <n v="1"/>
    <x v="363"/>
  </r>
  <r>
    <x v="1"/>
    <x v="1"/>
    <n v="2"/>
    <x v="364"/>
  </r>
  <r>
    <x v="0"/>
    <x v="5"/>
    <n v="3"/>
    <x v="365"/>
  </r>
  <r>
    <x v="4"/>
    <x v="1"/>
    <n v="1"/>
    <x v="366"/>
  </r>
  <r>
    <x v="6"/>
    <x v="1"/>
    <n v="4"/>
    <x v="367"/>
  </r>
  <r>
    <x v="11"/>
    <x v="5"/>
    <n v="2"/>
    <x v="368"/>
  </r>
  <r>
    <x v="7"/>
    <x v="0"/>
    <n v="3"/>
    <x v="369"/>
  </r>
  <r>
    <x v="6"/>
    <x v="0"/>
    <n v="2"/>
    <x v="370"/>
  </r>
  <r>
    <x v="9"/>
    <x v="5"/>
    <n v="2"/>
    <x v="371"/>
  </r>
  <r>
    <x v="2"/>
    <x v="4"/>
    <n v="2"/>
    <x v="372"/>
  </r>
  <r>
    <x v="10"/>
    <x v="0"/>
    <n v="5"/>
    <x v="373"/>
  </r>
  <r>
    <x v="2"/>
    <x v="2"/>
    <n v="5"/>
    <x v="374"/>
  </r>
  <r>
    <x v="3"/>
    <x v="1"/>
    <n v="2"/>
    <x v="375"/>
  </r>
  <r>
    <x v="8"/>
    <x v="3"/>
    <n v="4"/>
    <x v="376"/>
  </r>
  <r>
    <x v="11"/>
    <x v="5"/>
    <n v="4"/>
    <x v="377"/>
  </r>
  <r>
    <x v="0"/>
    <x v="2"/>
    <n v="3"/>
    <x v="378"/>
  </r>
  <r>
    <x v="4"/>
    <x v="0"/>
    <n v="2"/>
    <x v="379"/>
  </r>
  <r>
    <x v="2"/>
    <x v="0"/>
    <n v="4"/>
    <x v="380"/>
  </r>
  <r>
    <x v="0"/>
    <x v="1"/>
    <n v="4"/>
    <x v="381"/>
  </r>
  <r>
    <x v="11"/>
    <x v="2"/>
    <n v="4"/>
    <x v="382"/>
  </r>
  <r>
    <x v="4"/>
    <x v="3"/>
    <n v="1"/>
    <x v="383"/>
  </r>
  <r>
    <x v="0"/>
    <x v="4"/>
    <n v="4"/>
    <x v="384"/>
  </r>
  <r>
    <x v="5"/>
    <x v="2"/>
    <n v="2"/>
    <x v="385"/>
  </r>
  <r>
    <x v="3"/>
    <x v="4"/>
    <n v="3"/>
    <x v="386"/>
  </r>
  <r>
    <x v="2"/>
    <x v="1"/>
    <n v="5"/>
    <x v="387"/>
  </r>
  <r>
    <x v="8"/>
    <x v="0"/>
    <n v="5"/>
    <x v="388"/>
  </r>
  <r>
    <x v="11"/>
    <x v="1"/>
    <n v="5"/>
    <x v="389"/>
  </r>
  <r>
    <x v="10"/>
    <x v="3"/>
    <n v="2"/>
    <x v="390"/>
  </r>
  <r>
    <x v="4"/>
    <x v="0"/>
    <n v="5"/>
    <x v="391"/>
  </r>
  <r>
    <x v="1"/>
    <x v="2"/>
    <n v="4"/>
    <x v="392"/>
  </r>
  <r>
    <x v="8"/>
    <x v="2"/>
    <n v="1"/>
    <x v="393"/>
  </r>
  <r>
    <x v="10"/>
    <x v="1"/>
    <n v="2"/>
    <x v="394"/>
  </r>
  <r>
    <x v="6"/>
    <x v="3"/>
    <n v="5"/>
    <x v="395"/>
  </r>
  <r>
    <x v="5"/>
    <x v="5"/>
    <n v="1"/>
    <x v="396"/>
  </r>
  <r>
    <x v="9"/>
    <x v="5"/>
    <n v="2"/>
    <x v="397"/>
  </r>
  <r>
    <x v="1"/>
    <x v="1"/>
    <n v="1"/>
    <x v="398"/>
  </r>
  <r>
    <x v="1"/>
    <x v="5"/>
    <n v="3"/>
    <x v="399"/>
  </r>
  <r>
    <x v="0"/>
    <x v="3"/>
    <n v="5"/>
    <x v="400"/>
  </r>
  <r>
    <x v="10"/>
    <x v="0"/>
    <n v="1"/>
    <x v="401"/>
  </r>
  <r>
    <x v="5"/>
    <x v="1"/>
    <n v="5"/>
    <x v="402"/>
  </r>
  <r>
    <x v="7"/>
    <x v="0"/>
    <n v="3"/>
    <x v="403"/>
  </r>
  <r>
    <x v="6"/>
    <x v="2"/>
    <n v="3"/>
    <x v="404"/>
  </r>
  <r>
    <x v="9"/>
    <x v="2"/>
    <n v="5"/>
    <x v="405"/>
  </r>
  <r>
    <x v="3"/>
    <x v="0"/>
    <n v="3"/>
    <x v="406"/>
  </r>
  <r>
    <x v="5"/>
    <x v="0"/>
    <n v="2"/>
    <x v="407"/>
  </r>
  <r>
    <x v="9"/>
    <x v="5"/>
    <n v="5"/>
    <x v="408"/>
  </r>
  <r>
    <x v="0"/>
    <x v="0"/>
    <n v="3"/>
    <x v="409"/>
  </r>
  <r>
    <x v="1"/>
    <x v="1"/>
    <n v="2"/>
    <x v="410"/>
  </r>
  <r>
    <x v="5"/>
    <x v="4"/>
    <n v="3"/>
    <x v="411"/>
  </r>
  <r>
    <x v="1"/>
    <x v="5"/>
    <n v="4"/>
    <x v="412"/>
  </r>
  <r>
    <x v="7"/>
    <x v="0"/>
    <n v="1"/>
    <x v="413"/>
  </r>
  <r>
    <x v="7"/>
    <x v="2"/>
    <n v="3"/>
    <x v="414"/>
  </r>
  <r>
    <x v="10"/>
    <x v="2"/>
    <n v="1"/>
    <x v="415"/>
  </r>
  <r>
    <x v="1"/>
    <x v="1"/>
    <n v="2"/>
    <x v="416"/>
  </r>
  <r>
    <x v="9"/>
    <x v="0"/>
    <n v="2"/>
    <x v="417"/>
  </r>
  <r>
    <x v="10"/>
    <x v="5"/>
    <n v="3"/>
    <x v="418"/>
  </r>
  <r>
    <x v="10"/>
    <x v="2"/>
    <n v="5"/>
    <x v="419"/>
  </r>
  <r>
    <x v="1"/>
    <x v="5"/>
    <n v="4"/>
    <x v="420"/>
  </r>
  <r>
    <x v="6"/>
    <x v="3"/>
    <n v="2"/>
    <x v="421"/>
  </r>
  <r>
    <x v="5"/>
    <x v="2"/>
    <n v="1"/>
    <x v="422"/>
  </r>
  <r>
    <x v="10"/>
    <x v="2"/>
    <n v="4"/>
    <x v="423"/>
  </r>
  <r>
    <x v="4"/>
    <x v="4"/>
    <n v="1"/>
    <x v="424"/>
  </r>
  <r>
    <x v="4"/>
    <x v="2"/>
    <n v="1"/>
    <x v="425"/>
  </r>
  <r>
    <x v="6"/>
    <x v="3"/>
    <n v="1"/>
    <x v="426"/>
  </r>
  <r>
    <x v="3"/>
    <x v="4"/>
    <n v="2"/>
    <x v="427"/>
  </r>
  <r>
    <x v="5"/>
    <x v="5"/>
    <n v="3"/>
    <x v="428"/>
  </r>
  <r>
    <x v="4"/>
    <x v="1"/>
    <n v="3"/>
    <x v="429"/>
  </r>
  <r>
    <x v="9"/>
    <x v="1"/>
    <n v="5"/>
    <x v="430"/>
  </r>
  <r>
    <x v="11"/>
    <x v="1"/>
    <n v="5"/>
    <x v="431"/>
  </r>
  <r>
    <x v="8"/>
    <x v="0"/>
    <n v="3"/>
    <x v="432"/>
  </r>
  <r>
    <x v="4"/>
    <x v="2"/>
    <n v="4"/>
    <x v="433"/>
  </r>
  <r>
    <x v="10"/>
    <x v="4"/>
    <n v="1"/>
    <x v="434"/>
  </r>
  <r>
    <x v="10"/>
    <x v="0"/>
    <n v="3"/>
    <x v="435"/>
  </r>
  <r>
    <x v="10"/>
    <x v="4"/>
    <n v="2"/>
    <x v="436"/>
  </r>
  <r>
    <x v="7"/>
    <x v="5"/>
    <n v="2"/>
    <x v="437"/>
  </r>
  <r>
    <x v="7"/>
    <x v="1"/>
    <n v="4"/>
    <x v="438"/>
  </r>
  <r>
    <x v="2"/>
    <x v="4"/>
    <n v="1"/>
    <x v="439"/>
  </r>
  <r>
    <x v="9"/>
    <x v="3"/>
    <n v="1"/>
    <x v="440"/>
  </r>
  <r>
    <x v="2"/>
    <x v="2"/>
    <n v="4"/>
    <x v="441"/>
  </r>
  <r>
    <x v="10"/>
    <x v="2"/>
    <n v="3"/>
    <x v="442"/>
  </r>
  <r>
    <x v="6"/>
    <x v="0"/>
    <n v="5"/>
    <x v="443"/>
  </r>
  <r>
    <x v="10"/>
    <x v="1"/>
    <n v="2"/>
    <x v="444"/>
  </r>
  <r>
    <x v="10"/>
    <x v="0"/>
    <n v="4"/>
    <x v="445"/>
  </r>
  <r>
    <x v="1"/>
    <x v="5"/>
    <n v="3"/>
    <x v="446"/>
  </r>
  <r>
    <x v="1"/>
    <x v="2"/>
    <n v="1"/>
    <x v="447"/>
  </r>
  <r>
    <x v="6"/>
    <x v="2"/>
    <n v="2"/>
    <x v="448"/>
  </r>
  <r>
    <x v="4"/>
    <x v="4"/>
    <n v="2"/>
    <x v="449"/>
  </r>
  <r>
    <x v="2"/>
    <x v="4"/>
    <n v="2"/>
    <x v="450"/>
  </r>
  <r>
    <x v="3"/>
    <x v="1"/>
    <n v="1"/>
    <x v="451"/>
  </r>
  <r>
    <x v="6"/>
    <x v="4"/>
    <n v="5"/>
    <x v="452"/>
  </r>
  <r>
    <x v="2"/>
    <x v="0"/>
    <n v="4"/>
    <x v="453"/>
  </r>
  <r>
    <x v="10"/>
    <x v="0"/>
    <n v="2"/>
    <x v="454"/>
  </r>
  <r>
    <x v="3"/>
    <x v="1"/>
    <n v="2"/>
    <x v="455"/>
  </r>
  <r>
    <x v="3"/>
    <x v="4"/>
    <n v="4"/>
    <x v="456"/>
  </r>
  <r>
    <x v="7"/>
    <x v="4"/>
    <n v="3"/>
    <x v="457"/>
  </r>
  <r>
    <x v="9"/>
    <x v="0"/>
    <n v="5"/>
    <x v="458"/>
  </r>
  <r>
    <x v="7"/>
    <x v="1"/>
    <n v="4"/>
    <x v="459"/>
  </r>
  <r>
    <x v="3"/>
    <x v="4"/>
    <n v="3"/>
    <x v="460"/>
  </r>
  <r>
    <x v="2"/>
    <x v="4"/>
    <n v="1"/>
    <x v="461"/>
  </r>
  <r>
    <x v="5"/>
    <x v="3"/>
    <n v="3"/>
    <x v="462"/>
  </r>
  <r>
    <x v="9"/>
    <x v="1"/>
    <n v="1"/>
    <x v="463"/>
  </r>
  <r>
    <x v="4"/>
    <x v="0"/>
    <n v="1"/>
    <x v="464"/>
  </r>
  <r>
    <x v="0"/>
    <x v="4"/>
    <n v="3"/>
    <x v="465"/>
  </r>
  <r>
    <x v="11"/>
    <x v="1"/>
    <n v="3"/>
    <x v="466"/>
  </r>
  <r>
    <x v="3"/>
    <x v="2"/>
    <n v="3"/>
    <x v="467"/>
  </r>
  <r>
    <x v="10"/>
    <x v="2"/>
    <n v="5"/>
    <x v="468"/>
  </r>
  <r>
    <x v="1"/>
    <x v="0"/>
    <n v="3"/>
    <x v="469"/>
  </r>
  <r>
    <x v="6"/>
    <x v="0"/>
    <n v="1"/>
    <x v="470"/>
  </r>
  <r>
    <x v="7"/>
    <x v="0"/>
    <n v="2"/>
    <x v="471"/>
  </r>
  <r>
    <x v="6"/>
    <x v="1"/>
    <n v="2"/>
    <x v="472"/>
  </r>
  <r>
    <x v="2"/>
    <x v="4"/>
    <n v="2"/>
    <x v="473"/>
  </r>
  <r>
    <x v="8"/>
    <x v="1"/>
    <n v="1"/>
    <x v="474"/>
  </r>
  <r>
    <x v="11"/>
    <x v="1"/>
    <n v="1"/>
    <x v="475"/>
  </r>
  <r>
    <x v="5"/>
    <x v="1"/>
    <n v="3"/>
    <x v="476"/>
  </r>
  <r>
    <x v="0"/>
    <x v="2"/>
    <n v="1"/>
    <x v="477"/>
  </r>
  <r>
    <x v="4"/>
    <x v="0"/>
    <n v="3"/>
    <x v="478"/>
  </r>
  <r>
    <x v="1"/>
    <x v="3"/>
    <n v="2"/>
    <x v="479"/>
  </r>
  <r>
    <x v="11"/>
    <x v="5"/>
    <n v="5"/>
    <x v="480"/>
  </r>
  <r>
    <x v="3"/>
    <x v="1"/>
    <n v="2"/>
    <x v="481"/>
  </r>
  <r>
    <x v="8"/>
    <x v="2"/>
    <n v="2"/>
    <x v="482"/>
  </r>
  <r>
    <x v="9"/>
    <x v="1"/>
    <n v="1"/>
    <x v="483"/>
  </r>
  <r>
    <x v="5"/>
    <x v="3"/>
    <n v="5"/>
    <x v="484"/>
  </r>
  <r>
    <x v="6"/>
    <x v="1"/>
    <n v="2"/>
    <x v="485"/>
  </r>
  <r>
    <x v="6"/>
    <x v="0"/>
    <n v="1"/>
    <x v="486"/>
  </r>
  <r>
    <x v="4"/>
    <x v="2"/>
    <n v="5"/>
    <x v="487"/>
  </r>
  <r>
    <x v="9"/>
    <x v="4"/>
    <n v="1"/>
    <x v="155"/>
  </r>
  <r>
    <x v="9"/>
    <x v="4"/>
    <n v="2"/>
    <x v="488"/>
  </r>
  <r>
    <x v="4"/>
    <x v="0"/>
    <n v="1"/>
    <x v="489"/>
  </r>
  <r>
    <x v="10"/>
    <x v="1"/>
    <n v="4"/>
    <x v="490"/>
  </r>
  <r>
    <x v="5"/>
    <x v="3"/>
    <n v="3"/>
    <x v="491"/>
  </r>
  <r>
    <x v="6"/>
    <x v="1"/>
    <n v="1"/>
    <x v="492"/>
  </r>
  <r>
    <x v="0"/>
    <x v="0"/>
    <n v="2"/>
    <x v="493"/>
  </r>
  <r>
    <x v="9"/>
    <x v="0"/>
    <n v="2"/>
    <x v="494"/>
  </r>
  <r>
    <x v="6"/>
    <x v="3"/>
    <n v="4"/>
    <x v="495"/>
  </r>
  <r>
    <x v="11"/>
    <x v="3"/>
    <n v="4"/>
    <x v="49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2ED151C-3EB4-4326-BBE0-90C793EA23E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8" rowHeaderCaption="Category">
  <location ref="A2:B9" firstHeaderRow="1" firstDataRow="1" firstDataCol="1"/>
  <pivotFields count="13">
    <pivotField showAll="0"/>
    <pivotField showAll="0"/>
    <pivotField showAll="0"/>
    <pivotField axis="axisRow" showAll="0">
      <items count="7">
        <item x="1"/>
        <item x="3"/>
        <item x="0"/>
        <item x="2"/>
        <item x="5"/>
        <item x="4"/>
        <item t="default"/>
      </items>
    </pivotField>
    <pivotField showAll="0"/>
    <pivotField showAll="0"/>
    <pivotField dataField="1" showAll="0">
      <items count="501">
        <item x="244"/>
        <item x="274"/>
        <item x="475"/>
        <item x="395"/>
        <item x="37"/>
        <item x="184"/>
        <item x="346"/>
        <item x="466"/>
        <item x="280"/>
        <item x="33"/>
        <item x="132"/>
        <item x="170"/>
        <item x="385"/>
        <item x="119"/>
        <item x="145"/>
        <item x="236"/>
        <item x="297"/>
        <item x="477"/>
        <item x="453"/>
        <item x="368"/>
        <item x="166"/>
        <item x="300"/>
        <item x="269"/>
        <item x="446"/>
        <item x="426"/>
        <item x="161"/>
        <item x="301"/>
        <item x="372"/>
        <item x="287"/>
        <item x="38"/>
        <item x="436"/>
        <item x="94"/>
        <item x="442"/>
        <item x="200"/>
        <item x="492"/>
        <item x="168"/>
        <item x="443"/>
        <item x="39"/>
        <item x="460"/>
        <item x="451"/>
        <item x="159"/>
        <item x="41"/>
        <item x="215"/>
        <item x="56"/>
        <item x="308"/>
        <item x="139"/>
        <item x="268"/>
        <item x="148"/>
        <item x="217"/>
        <item x="153"/>
        <item x="160"/>
        <item x="290"/>
        <item x="409"/>
        <item x="163"/>
        <item x="187"/>
        <item x="189"/>
        <item x="465"/>
        <item x="240"/>
        <item x="471"/>
        <item x="327"/>
        <item x="332"/>
        <item x="317"/>
        <item x="428"/>
        <item x="447"/>
        <item x="430"/>
        <item x="400"/>
        <item x="91"/>
        <item x="82"/>
        <item x="35"/>
        <item x="472"/>
        <item x="379"/>
        <item x="60"/>
        <item x="398"/>
        <item x="319"/>
        <item x="245"/>
        <item x="479"/>
        <item x="44"/>
        <item x="133"/>
        <item x="15"/>
        <item x="32"/>
        <item x="36"/>
        <item x="360"/>
        <item x="68"/>
        <item x="6"/>
        <item x="415"/>
        <item x="126"/>
        <item x="262"/>
        <item x="19"/>
        <item x="365"/>
        <item x="47"/>
        <item x="275"/>
        <item x="490"/>
        <item x="302"/>
        <item x="469"/>
        <item x="425"/>
        <item x="17"/>
        <item x="435"/>
        <item x="494"/>
        <item x="28"/>
        <item x="449"/>
        <item x="90"/>
        <item x="278"/>
        <item x="260"/>
        <item x="396"/>
        <item x="487"/>
        <item x="216"/>
        <item x="273"/>
        <item x="376"/>
        <item x="197"/>
        <item x="296"/>
        <item x="489"/>
        <item x="25"/>
        <item x="138"/>
        <item x="321"/>
        <item x="481"/>
        <item x="441"/>
        <item x="417"/>
        <item x="208"/>
        <item x="397"/>
        <item x="218"/>
        <item x="322"/>
        <item x="88"/>
        <item x="497"/>
        <item x="485"/>
        <item x="234"/>
        <item x="224"/>
        <item x="420"/>
        <item x="476"/>
        <item x="484"/>
        <item x="261"/>
        <item x="252"/>
        <item x="185"/>
        <item x="412"/>
        <item x="134"/>
        <item x="408"/>
        <item x="424"/>
        <item x="43"/>
        <item x="128"/>
        <item x="84"/>
        <item x="178"/>
        <item x="75"/>
        <item x="326"/>
        <item x="124"/>
        <item x="125"/>
        <item x="66"/>
        <item x="403"/>
        <item x="129"/>
        <item x="293"/>
        <item x="316"/>
        <item x="81"/>
        <item x="289"/>
        <item x="22"/>
        <item x="74"/>
        <item x="235"/>
        <item x="237"/>
        <item x="14"/>
        <item x="325"/>
        <item x="114"/>
        <item x="266"/>
        <item x="110"/>
        <item x="77"/>
        <item x="402"/>
        <item x="473"/>
        <item x="284"/>
        <item x="295"/>
        <item x="0"/>
        <item x="157"/>
        <item x="65"/>
        <item x="248"/>
        <item x="429"/>
        <item x="488"/>
        <item x="105"/>
        <item x="23"/>
        <item x="404"/>
        <item x="495"/>
        <item x="76"/>
        <item x="40"/>
        <item x="79"/>
        <item x="344"/>
        <item x="169"/>
        <item x="468"/>
        <item x="104"/>
        <item x="377"/>
        <item x="456"/>
        <item x="359"/>
        <item x="95"/>
        <item x="20"/>
        <item x="419"/>
        <item x="437"/>
        <item x="457"/>
        <item x="24"/>
        <item x="162"/>
        <item x="345"/>
        <item x="336"/>
        <item x="483"/>
        <item x="388"/>
        <item x="112"/>
        <item x="314"/>
        <item x="285"/>
        <item x="180"/>
        <item x="363"/>
        <item x="113"/>
        <item x="227"/>
        <item x="399"/>
        <item x="196"/>
        <item x="80"/>
        <item x="109"/>
        <item x="352"/>
        <item x="101"/>
        <item x="92"/>
        <item x="9"/>
        <item x="432"/>
        <item x="45"/>
        <item x="71"/>
        <item x="427"/>
        <item x="361"/>
        <item x="463"/>
        <item x="12"/>
        <item x="192"/>
        <item x="328"/>
        <item x="299"/>
        <item x="452"/>
        <item x="304"/>
        <item x="374"/>
        <item x="130"/>
        <item x="213"/>
        <item x="142"/>
        <item x="406"/>
        <item x="401"/>
        <item x="286"/>
        <item x="482"/>
        <item x="493"/>
        <item x="438"/>
        <item x="123"/>
        <item x="267"/>
        <item x="339"/>
        <item x="93"/>
        <item x="1"/>
        <item x="315"/>
        <item x="52"/>
        <item x="220"/>
        <item x="21"/>
        <item x="211"/>
        <item x="222"/>
        <item x="136"/>
        <item x="228"/>
        <item x="386"/>
        <item x="51"/>
        <item x="230"/>
        <item x="165"/>
        <item x="54"/>
        <item x="433"/>
        <item x="209"/>
        <item x="97"/>
        <item x="175"/>
        <item x="46"/>
        <item x="343"/>
        <item x="59"/>
        <item x="413"/>
        <item x="347"/>
        <item x="229"/>
        <item x="149"/>
        <item x="156"/>
        <item x="334"/>
        <item x="249"/>
        <item x="173"/>
        <item x="232"/>
        <item x="392"/>
        <item x="313"/>
        <item x="67"/>
        <item x="263"/>
        <item x="62"/>
        <item x="193"/>
        <item x="416"/>
        <item x="370"/>
        <item x="448"/>
        <item x="29"/>
        <item x="306"/>
        <item x="351"/>
        <item x="323"/>
        <item x="201"/>
        <item x="243"/>
        <item x="486"/>
        <item x="307"/>
        <item x="55"/>
        <item x="387"/>
        <item x="324"/>
        <item x="61"/>
        <item x="182"/>
        <item x="366"/>
        <item x="64"/>
        <item x="176"/>
        <item x="474"/>
        <item x="146"/>
        <item x="378"/>
        <item x="42"/>
        <item x="120"/>
        <item x="358"/>
        <item x="349"/>
        <item x="279"/>
        <item x="381"/>
        <item x="147"/>
        <item x="496"/>
        <item x="102"/>
        <item x="364"/>
        <item x="2"/>
        <item x="186"/>
        <item x="277"/>
        <item x="16"/>
        <item x="461"/>
        <item x="256"/>
        <item x="371"/>
        <item x="265"/>
        <item x="181"/>
        <item x="205"/>
        <item x="331"/>
        <item x="450"/>
        <item x="423"/>
        <item x="111"/>
        <item x="121"/>
        <item x="411"/>
        <item x="251"/>
        <item x="4"/>
        <item x="257"/>
        <item x="335"/>
        <item x="127"/>
        <item x="462"/>
        <item x="183"/>
        <item x="312"/>
        <item x="491"/>
        <item x="418"/>
        <item x="338"/>
        <item x="340"/>
        <item x="464"/>
        <item x="242"/>
        <item x="190"/>
        <item x="155"/>
        <item x="122"/>
        <item x="7"/>
        <item x="439"/>
        <item x="298"/>
        <item x="53"/>
        <item x="329"/>
        <item x="72"/>
        <item x="241"/>
        <item x="191"/>
        <item x="171"/>
        <item x="291"/>
        <item x="223"/>
        <item x="354"/>
        <item x="117"/>
        <item x="143"/>
        <item x="70"/>
        <item x="458"/>
        <item x="271"/>
        <item x="87"/>
        <item x="373"/>
        <item x="202"/>
        <item x="454"/>
        <item x="330"/>
        <item x="444"/>
        <item x="96"/>
        <item x="270"/>
        <item x="480"/>
        <item x="255"/>
        <item x="158"/>
        <item x="11"/>
        <item x="131"/>
        <item x="375"/>
        <item x="233"/>
        <item x="49"/>
        <item x="434"/>
        <item x="467"/>
        <item x="103"/>
        <item x="31"/>
        <item x="174"/>
        <item x="246"/>
        <item x="199"/>
        <item x="258"/>
        <item x="341"/>
        <item x="78"/>
        <item x="204"/>
        <item x="410"/>
        <item x="13"/>
        <item x="152"/>
        <item x="48"/>
        <item x="318"/>
        <item x="108"/>
        <item x="141"/>
        <item x="57"/>
        <item x="276"/>
        <item x="380"/>
        <item x="225"/>
        <item x="63"/>
        <item x="259"/>
        <item x="342"/>
        <item x="254"/>
        <item x="393"/>
        <item x="98"/>
        <item x="231"/>
        <item x="210"/>
        <item x="422"/>
        <item x="305"/>
        <item x="407"/>
        <item x="320"/>
        <item x="264"/>
        <item x="3"/>
        <item x="498"/>
        <item x="405"/>
        <item x="303"/>
        <item x="85"/>
        <item x="150"/>
        <item x="272"/>
        <item x="478"/>
        <item x="89"/>
        <item x="367"/>
        <item x="459"/>
        <item x="499"/>
        <item x="337"/>
        <item x="238"/>
        <item x="250"/>
        <item x="73"/>
        <item x="333"/>
        <item x="198"/>
        <item x="431"/>
        <item x="239"/>
        <item x="247"/>
        <item x="107"/>
        <item x="309"/>
        <item x="179"/>
        <item x="369"/>
        <item x="106"/>
        <item x="394"/>
        <item x="34"/>
        <item x="194"/>
        <item x="362"/>
        <item x="355"/>
        <item x="177"/>
        <item x="8"/>
        <item x="384"/>
        <item x="440"/>
        <item x="206"/>
        <item x="219"/>
        <item x="172"/>
        <item x="50"/>
        <item x="389"/>
        <item x="195"/>
        <item x="348"/>
        <item x="311"/>
        <item x="58"/>
        <item x="167"/>
        <item x="18"/>
        <item x="100"/>
        <item x="116"/>
        <item x="390"/>
        <item x="10"/>
        <item x="140"/>
        <item x="207"/>
        <item x="383"/>
        <item x="115"/>
        <item x="69"/>
        <item x="30"/>
        <item x="382"/>
        <item x="27"/>
        <item x="86"/>
        <item x="26"/>
        <item x="292"/>
        <item x="414"/>
        <item x="151"/>
        <item x="455"/>
        <item x="214"/>
        <item x="310"/>
        <item x="226"/>
        <item x="281"/>
        <item x="391"/>
        <item x="99"/>
        <item x="164"/>
        <item x="353"/>
        <item x="350"/>
        <item x="294"/>
        <item x="357"/>
        <item x="212"/>
        <item x="282"/>
        <item x="135"/>
        <item x="5"/>
        <item x="470"/>
        <item x="445"/>
        <item x="203"/>
        <item x="154"/>
        <item x="144"/>
        <item x="283"/>
        <item x="83"/>
        <item x="188"/>
        <item x="356"/>
        <item x="137"/>
        <item x="221"/>
        <item x="253"/>
        <item x="421"/>
        <item x="118"/>
        <item x="288"/>
        <item t="default"/>
      </items>
    </pivotField>
    <pivotField numFmtId="14" showAll="0">
      <items count="166">
        <item x="101"/>
        <item x="0"/>
        <item x="105"/>
        <item x="32"/>
        <item x="95"/>
        <item x="38"/>
        <item x="146"/>
        <item x="34"/>
        <item x="23"/>
        <item x="45"/>
        <item x="78"/>
        <item x="129"/>
        <item x="5"/>
        <item x="42"/>
        <item x="20"/>
        <item x="29"/>
        <item x="2"/>
        <item x="6"/>
        <item x="145"/>
        <item x="62"/>
        <item x="135"/>
        <item x="92"/>
        <item x="65"/>
        <item x="26"/>
        <item x="3"/>
        <item x="97"/>
        <item x="164"/>
        <item x="36"/>
        <item x="125"/>
        <item x="103"/>
        <item x="154"/>
        <item x="108"/>
        <item x="35"/>
        <item x="157"/>
        <item x="16"/>
        <item x="156"/>
        <item x="141"/>
        <item x="107"/>
        <item x="57"/>
        <item x="104"/>
        <item x="126"/>
        <item x="74"/>
        <item x="124"/>
        <item x="120"/>
        <item x="110"/>
        <item x="116"/>
        <item x="8"/>
        <item x="114"/>
        <item x="98"/>
        <item x="66"/>
        <item x="70"/>
        <item x="14"/>
        <item x="87"/>
        <item x="127"/>
        <item x="27"/>
        <item x="111"/>
        <item x="148"/>
        <item x="118"/>
        <item x="128"/>
        <item x="41"/>
        <item x="99"/>
        <item x="89"/>
        <item x="30"/>
        <item x="113"/>
        <item x="56"/>
        <item x="76"/>
        <item x="155"/>
        <item x="81"/>
        <item x="131"/>
        <item x="13"/>
        <item x="61"/>
        <item x="94"/>
        <item x="64"/>
        <item x="73"/>
        <item x="31"/>
        <item x="28"/>
        <item x="152"/>
        <item x="12"/>
        <item x="71"/>
        <item x="137"/>
        <item x="49"/>
        <item x="119"/>
        <item x="40"/>
        <item x="144"/>
        <item x="121"/>
        <item x="7"/>
        <item x="11"/>
        <item x="109"/>
        <item x="93"/>
        <item x="161"/>
        <item x="63"/>
        <item x="21"/>
        <item x="22"/>
        <item x="132"/>
        <item x="163"/>
        <item x="15"/>
        <item x="9"/>
        <item x="50"/>
        <item x="96"/>
        <item x="84"/>
        <item x="112"/>
        <item x="88"/>
        <item x="82"/>
        <item x="39"/>
        <item x="162"/>
        <item x="143"/>
        <item x="147"/>
        <item x="122"/>
        <item x="79"/>
        <item x="55"/>
        <item x="47"/>
        <item x="138"/>
        <item x="69"/>
        <item x="48"/>
        <item x="58"/>
        <item x="18"/>
        <item x="43"/>
        <item x="1"/>
        <item x="102"/>
        <item x="54"/>
        <item x="51"/>
        <item x="139"/>
        <item x="4"/>
        <item x="37"/>
        <item x="151"/>
        <item x="52"/>
        <item x="140"/>
        <item x="123"/>
        <item x="150"/>
        <item x="100"/>
        <item x="83"/>
        <item x="72"/>
        <item x="136"/>
        <item x="134"/>
        <item x="24"/>
        <item x="17"/>
        <item x="68"/>
        <item x="44"/>
        <item x="10"/>
        <item x="160"/>
        <item x="90"/>
        <item x="85"/>
        <item x="60"/>
        <item x="117"/>
        <item x="133"/>
        <item x="153"/>
        <item x="80"/>
        <item x="46"/>
        <item x="158"/>
        <item x="91"/>
        <item x="53"/>
        <item x="19"/>
        <item x="142"/>
        <item x="130"/>
        <item x="115"/>
        <item x="159"/>
        <item x="75"/>
        <item x="59"/>
        <item x="106"/>
        <item x="33"/>
        <item x="86"/>
        <item x="77"/>
        <item x="25"/>
        <item x="149"/>
        <item x="67"/>
        <item t="default"/>
      </items>
    </pivotField>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7">
    <i>
      <x/>
    </i>
    <i>
      <x v="1"/>
    </i>
    <i>
      <x v="2"/>
    </i>
    <i>
      <x v="3"/>
    </i>
    <i>
      <x v="4"/>
    </i>
    <i>
      <x v="5"/>
    </i>
    <i t="grand">
      <x/>
    </i>
  </rowItems>
  <colItems count="1">
    <i/>
  </colItems>
  <dataFields count="1">
    <dataField name="Sum of Total Amount" fld="6" baseField="0" baseItem="0"/>
  </dataFields>
  <chartFormats count="21">
    <chartFormat chart="27" format="0" series="1">
      <pivotArea type="data" outline="0" fieldPosition="0">
        <references count="1">
          <reference field="4294967294" count="1" selected="0">
            <x v="0"/>
          </reference>
        </references>
      </pivotArea>
    </chartFormat>
    <chartFormat chart="27" format="1">
      <pivotArea type="data" outline="0" fieldPosition="0">
        <references count="2">
          <reference field="4294967294" count="1" selected="0">
            <x v="0"/>
          </reference>
          <reference field="3" count="1" selected="0">
            <x v="1"/>
          </reference>
        </references>
      </pivotArea>
    </chartFormat>
    <chartFormat chart="27" format="2">
      <pivotArea type="data" outline="0" fieldPosition="0">
        <references count="2">
          <reference field="4294967294" count="1" selected="0">
            <x v="0"/>
          </reference>
          <reference field="3" count="1" selected="0">
            <x v="2"/>
          </reference>
        </references>
      </pivotArea>
    </chartFormat>
    <chartFormat chart="27" format="3">
      <pivotArea type="data" outline="0" fieldPosition="0">
        <references count="2">
          <reference field="4294967294" count="1" selected="0">
            <x v="0"/>
          </reference>
          <reference field="3" count="1" selected="0">
            <x v="3"/>
          </reference>
        </references>
      </pivotArea>
    </chartFormat>
    <chartFormat chart="27" format="4">
      <pivotArea type="data" outline="0" fieldPosition="0">
        <references count="2">
          <reference field="4294967294" count="1" selected="0">
            <x v="0"/>
          </reference>
          <reference field="3" count="1" selected="0">
            <x v="5"/>
          </reference>
        </references>
      </pivotArea>
    </chartFormat>
    <chartFormat chart="27" format="5">
      <pivotArea type="data" outline="0" fieldPosition="0">
        <references count="2">
          <reference field="4294967294" count="1" selected="0">
            <x v="0"/>
          </reference>
          <reference field="3" count="1" selected="0">
            <x v="4"/>
          </reference>
        </references>
      </pivotArea>
    </chartFormat>
    <chartFormat chart="27" format="6">
      <pivotArea type="data" outline="0" fieldPosition="0">
        <references count="2">
          <reference field="4294967294" count="1" selected="0">
            <x v="0"/>
          </reference>
          <reference field="3" count="1" selected="0">
            <x v="0"/>
          </reference>
        </references>
      </pivotArea>
    </chartFormat>
    <chartFormat chart="40" format="14" series="1">
      <pivotArea type="data" outline="0" fieldPosition="0">
        <references count="1">
          <reference field="4294967294" count="1" selected="0">
            <x v="0"/>
          </reference>
        </references>
      </pivotArea>
    </chartFormat>
    <chartFormat chart="40" format="15">
      <pivotArea type="data" outline="0" fieldPosition="0">
        <references count="2">
          <reference field="4294967294" count="1" selected="0">
            <x v="0"/>
          </reference>
          <reference field="3" count="1" selected="0">
            <x v="0"/>
          </reference>
        </references>
      </pivotArea>
    </chartFormat>
    <chartFormat chart="40" format="16">
      <pivotArea type="data" outline="0" fieldPosition="0">
        <references count="2">
          <reference field="4294967294" count="1" selected="0">
            <x v="0"/>
          </reference>
          <reference field="3" count="1" selected="0">
            <x v="1"/>
          </reference>
        </references>
      </pivotArea>
    </chartFormat>
    <chartFormat chart="40" format="17">
      <pivotArea type="data" outline="0" fieldPosition="0">
        <references count="2">
          <reference field="4294967294" count="1" selected="0">
            <x v="0"/>
          </reference>
          <reference field="3" count="1" selected="0">
            <x v="2"/>
          </reference>
        </references>
      </pivotArea>
    </chartFormat>
    <chartFormat chart="40" format="18">
      <pivotArea type="data" outline="0" fieldPosition="0">
        <references count="2">
          <reference field="4294967294" count="1" selected="0">
            <x v="0"/>
          </reference>
          <reference field="3" count="1" selected="0">
            <x v="3"/>
          </reference>
        </references>
      </pivotArea>
    </chartFormat>
    <chartFormat chart="40" format="19">
      <pivotArea type="data" outline="0" fieldPosition="0">
        <references count="2">
          <reference field="4294967294" count="1" selected="0">
            <x v="0"/>
          </reference>
          <reference field="3" count="1" selected="0">
            <x v="4"/>
          </reference>
        </references>
      </pivotArea>
    </chartFormat>
    <chartFormat chart="40" format="20">
      <pivotArea type="data" outline="0" fieldPosition="0">
        <references count="2">
          <reference field="4294967294" count="1" selected="0">
            <x v="0"/>
          </reference>
          <reference field="3" count="1" selected="0">
            <x v="5"/>
          </reference>
        </references>
      </pivotArea>
    </chartFormat>
    <chartFormat chart="47" format="28" series="1">
      <pivotArea type="data" outline="0" fieldPosition="0">
        <references count="1">
          <reference field="4294967294" count="1" selected="0">
            <x v="0"/>
          </reference>
        </references>
      </pivotArea>
    </chartFormat>
    <chartFormat chart="47" format="29">
      <pivotArea type="data" outline="0" fieldPosition="0">
        <references count="2">
          <reference field="4294967294" count="1" selected="0">
            <x v="0"/>
          </reference>
          <reference field="3" count="1" selected="0">
            <x v="0"/>
          </reference>
        </references>
      </pivotArea>
    </chartFormat>
    <chartFormat chart="47" format="30">
      <pivotArea type="data" outline="0" fieldPosition="0">
        <references count="2">
          <reference field="4294967294" count="1" selected="0">
            <x v="0"/>
          </reference>
          <reference field="3" count="1" selected="0">
            <x v="1"/>
          </reference>
        </references>
      </pivotArea>
    </chartFormat>
    <chartFormat chart="47" format="31">
      <pivotArea type="data" outline="0" fieldPosition="0">
        <references count="2">
          <reference field="4294967294" count="1" selected="0">
            <x v="0"/>
          </reference>
          <reference field="3" count="1" selected="0">
            <x v="2"/>
          </reference>
        </references>
      </pivotArea>
    </chartFormat>
    <chartFormat chart="47" format="32">
      <pivotArea type="data" outline="0" fieldPosition="0">
        <references count="2">
          <reference field="4294967294" count="1" selected="0">
            <x v="0"/>
          </reference>
          <reference field="3" count="1" selected="0">
            <x v="3"/>
          </reference>
        </references>
      </pivotArea>
    </chartFormat>
    <chartFormat chart="47" format="33">
      <pivotArea type="data" outline="0" fieldPosition="0">
        <references count="2">
          <reference field="4294967294" count="1" selected="0">
            <x v="0"/>
          </reference>
          <reference field="3" count="1" selected="0">
            <x v="4"/>
          </reference>
        </references>
      </pivotArea>
    </chartFormat>
    <chartFormat chart="47" format="34">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11A009C-AF69-43AE-8057-6730DF1F668D}"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2:B9" firstHeaderRow="1" firstDataRow="1" firstDataCol="1"/>
  <pivotFields count="13">
    <pivotField showAll="0"/>
    <pivotField showAll="0"/>
    <pivotField showAll="0"/>
    <pivotField showAll="0"/>
    <pivotField showAll="0"/>
    <pivotField showAll="0"/>
    <pivotField dataField="1" showAll="0">
      <items count="501">
        <item x="244"/>
        <item x="274"/>
        <item x="475"/>
        <item x="395"/>
        <item x="37"/>
        <item x="184"/>
        <item x="346"/>
        <item x="466"/>
        <item x="280"/>
        <item x="33"/>
        <item x="132"/>
        <item x="170"/>
        <item x="385"/>
        <item x="119"/>
        <item x="145"/>
        <item x="236"/>
        <item x="297"/>
        <item x="477"/>
        <item x="453"/>
        <item x="368"/>
        <item x="166"/>
        <item x="300"/>
        <item x="269"/>
        <item x="446"/>
        <item x="426"/>
        <item x="161"/>
        <item x="301"/>
        <item x="372"/>
        <item x="287"/>
        <item x="38"/>
        <item x="436"/>
        <item x="94"/>
        <item x="442"/>
        <item x="200"/>
        <item x="492"/>
        <item x="168"/>
        <item x="443"/>
        <item x="39"/>
        <item x="460"/>
        <item x="451"/>
        <item x="159"/>
        <item x="41"/>
        <item x="215"/>
        <item x="56"/>
        <item x="308"/>
        <item x="139"/>
        <item x="268"/>
        <item x="148"/>
        <item x="217"/>
        <item x="153"/>
        <item x="160"/>
        <item x="290"/>
        <item x="409"/>
        <item x="163"/>
        <item x="187"/>
        <item x="189"/>
        <item x="465"/>
        <item x="240"/>
        <item x="471"/>
        <item x="327"/>
        <item x="332"/>
        <item x="317"/>
        <item x="428"/>
        <item x="447"/>
        <item x="430"/>
        <item x="400"/>
        <item x="91"/>
        <item x="82"/>
        <item x="35"/>
        <item x="472"/>
        <item x="379"/>
        <item x="60"/>
        <item x="398"/>
        <item x="319"/>
        <item x="245"/>
        <item x="479"/>
        <item x="44"/>
        <item x="133"/>
        <item x="15"/>
        <item x="32"/>
        <item x="36"/>
        <item x="360"/>
        <item x="68"/>
        <item x="6"/>
        <item x="415"/>
        <item x="126"/>
        <item x="262"/>
        <item x="19"/>
        <item x="365"/>
        <item x="47"/>
        <item x="275"/>
        <item x="490"/>
        <item x="302"/>
        <item x="469"/>
        <item x="425"/>
        <item x="17"/>
        <item x="435"/>
        <item x="494"/>
        <item x="28"/>
        <item x="449"/>
        <item x="90"/>
        <item x="278"/>
        <item x="260"/>
        <item x="396"/>
        <item x="487"/>
        <item x="216"/>
        <item x="273"/>
        <item x="376"/>
        <item x="197"/>
        <item x="296"/>
        <item x="489"/>
        <item x="25"/>
        <item x="138"/>
        <item x="321"/>
        <item x="481"/>
        <item x="441"/>
        <item x="417"/>
        <item x="208"/>
        <item x="397"/>
        <item x="218"/>
        <item x="322"/>
        <item x="88"/>
        <item x="497"/>
        <item x="485"/>
        <item x="234"/>
        <item x="224"/>
        <item x="420"/>
        <item x="476"/>
        <item x="484"/>
        <item x="261"/>
        <item x="252"/>
        <item x="185"/>
        <item x="412"/>
        <item x="134"/>
        <item x="408"/>
        <item x="424"/>
        <item x="43"/>
        <item x="128"/>
        <item x="84"/>
        <item x="178"/>
        <item x="75"/>
        <item x="326"/>
        <item x="124"/>
        <item x="125"/>
        <item x="66"/>
        <item x="403"/>
        <item x="129"/>
        <item x="293"/>
        <item x="316"/>
        <item x="81"/>
        <item x="289"/>
        <item x="22"/>
        <item x="74"/>
        <item x="235"/>
        <item x="237"/>
        <item x="14"/>
        <item x="325"/>
        <item x="114"/>
        <item x="266"/>
        <item x="110"/>
        <item x="77"/>
        <item x="402"/>
        <item x="473"/>
        <item x="284"/>
        <item x="295"/>
        <item x="0"/>
        <item x="157"/>
        <item x="65"/>
        <item x="248"/>
        <item x="429"/>
        <item x="488"/>
        <item x="105"/>
        <item x="23"/>
        <item x="404"/>
        <item x="495"/>
        <item x="76"/>
        <item x="40"/>
        <item x="79"/>
        <item x="344"/>
        <item x="169"/>
        <item x="468"/>
        <item x="104"/>
        <item x="377"/>
        <item x="456"/>
        <item x="359"/>
        <item x="95"/>
        <item x="20"/>
        <item x="419"/>
        <item x="437"/>
        <item x="457"/>
        <item x="24"/>
        <item x="162"/>
        <item x="345"/>
        <item x="336"/>
        <item x="483"/>
        <item x="388"/>
        <item x="112"/>
        <item x="314"/>
        <item x="285"/>
        <item x="180"/>
        <item x="363"/>
        <item x="113"/>
        <item x="227"/>
        <item x="399"/>
        <item x="196"/>
        <item x="80"/>
        <item x="109"/>
        <item x="352"/>
        <item x="101"/>
        <item x="92"/>
        <item x="9"/>
        <item x="432"/>
        <item x="45"/>
        <item x="71"/>
        <item x="427"/>
        <item x="361"/>
        <item x="463"/>
        <item x="12"/>
        <item x="192"/>
        <item x="328"/>
        <item x="299"/>
        <item x="452"/>
        <item x="304"/>
        <item x="374"/>
        <item x="130"/>
        <item x="213"/>
        <item x="142"/>
        <item x="406"/>
        <item x="401"/>
        <item x="286"/>
        <item x="482"/>
        <item x="493"/>
        <item x="438"/>
        <item x="123"/>
        <item x="267"/>
        <item x="339"/>
        <item x="93"/>
        <item x="1"/>
        <item x="315"/>
        <item x="52"/>
        <item x="220"/>
        <item x="21"/>
        <item x="211"/>
        <item x="222"/>
        <item x="136"/>
        <item x="228"/>
        <item x="386"/>
        <item x="51"/>
        <item x="230"/>
        <item x="165"/>
        <item x="54"/>
        <item x="433"/>
        <item x="209"/>
        <item x="97"/>
        <item x="175"/>
        <item x="46"/>
        <item x="343"/>
        <item x="59"/>
        <item x="413"/>
        <item x="347"/>
        <item x="229"/>
        <item x="149"/>
        <item x="156"/>
        <item x="334"/>
        <item x="249"/>
        <item x="173"/>
        <item x="232"/>
        <item x="392"/>
        <item x="313"/>
        <item x="67"/>
        <item x="263"/>
        <item x="62"/>
        <item x="193"/>
        <item x="416"/>
        <item x="370"/>
        <item x="448"/>
        <item x="29"/>
        <item x="306"/>
        <item x="351"/>
        <item x="323"/>
        <item x="201"/>
        <item x="243"/>
        <item x="486"/>
        <item x="307"/>
        <item x="55"/>
        <item x="387"/>
        <item x="324"/>
        <item x="61"/>
        <item x="182"/>
        <item x="366"/>
        <item x="64"/>
        <item x="176"/>
        <item x="474"/>
        <item x="146"/>
        <item x="378"/>
        <item x="42"/>
        <item x="120"/>
        <item x="358"/>
        <item x="349"/>
        <item x="279"/>
        <item x="381"/>
        <item x="147"/>
        <item x="496"/>
        <item x="102"/>
        <item x="364"/>
        <item x="2"/>
        <item x="186"/>
        <item x="277"/>
        <item x="16"/>
        <item x="461"/>
        <item x="256"/>
        <item x="371"/>
        <item x="265"/>
        <item x="181"/>
        <item x="205"/>
        <item x="331"/>
        <item x="450"/>
        <item x="423"/>
        <item x="111"/>
        <item x="121"/>
        <item x="411"/>
        <item x="251"/>
        <item x="4"/>
        <item x="257"/>
        <item x="335"/>
        <item x="127"/>
        <item x="462"/>
        <item x="183"/>
        <item x="312"/>
        <item x="491"/>
        <item x="418"/>
        <item x="338"/>
        <item x="340"/>
        <item x="464"/>
        <item x="242"/>
        <item x="190"/>
        <item x="155"/>
        <item x="122"/>
        <item x="7"/>
        <item x="439"/>
        <item x="298"/>
        <item x="53"/>
        <item x="329"/>
        <item x="72"/>
        <item x="241"/>
        <item x="191"/>
        <item x="171"/>
        <item x="291"/>
        <item x="223"/>
        <item x="354"/>
        <item x="117"/>
        <item x="143"/>
        <item x="70"/>
        <item x="458"/>
        <item x="271"/>
        <item x="87"/>
        <item x="373"/>
        <item x="202"/>
        <item x="454"/>
        <item x="330"/>
        <item x="444"/>
        <item x="96"/>
        <item x="270"/>
        <item x="480"/>
        <item x="255"/>
        <item x="158"/>
        <item x="11"/>
        <item x="131"/>
        <item x="375"/>
        <item x="233"/>
        <item x="49"/>
        <item x="434"/>
        <item x="467"/>
        <item x="103"/>
        <item x="31"/>
        <item x="174"/>
        <item x="246"/>
        <item x="199"/>
        <item x="258"/>
        <item x="341"/>
        <item x="78"/>
        <item x="204"/>
        <item x="410"/>
        <item x="13"/>
        <item x="152"/>
        <item x="48"/>
        <item x="318"/>
        <item x="108"/>
        <item x="141"/>
        <item x="57"/>
        <item x="276"/>
        <item x="380"/>
        <item x="225"/>
        <item x="63"/>
        <item x="259"/>
        <item x="342"/>
        <item x="254"/>
        <item x="393"/>
        <item x="98"/>
        <item x="231"/>
        <item x="210"/>
        <item x="422"/>
        <item x="305"/>
        <item x="407"/>
        <item x="320"/>
        <item x="264"/>
        <item x="3"/>
        <item x="498"/>
        <item x="405"/>
        <item x="303"/>
        <item x="85"/>
        <item x="150"/>
        <item x="272"/>
        <item x="478"/>
        <item x="89"/>
        <item x="367"/>
        <item x="459"/>
        <item x="499"/>
        <item x="337"/>
        <item x="238"/>
        <item x="250"/>
        <item x="73"/>
        <item x="333"/>
        <item x="198"/>
        <item x="431"/>
        <item x="239"/>
        <item x="247"/>
        <item x="107"/>
        <item x="309"/>
        <item x="179"/>
        <item x="369"/>
        <item x="106"/>
        <item x="394"/>
        <item x="34"/>
        <item x="194"/>
        <item x="362"/>
        <item x="355"/>
        <item x="177"/>
        <item x="8"/>
        <item x="384"/>
        <item x="440"/>
        <item x="206"/>
        <item x="219"/>
        <item x="172"/>
        <item x="50"/>
        <item x="389"/>
        <item x="195"/>
        <item x="348"/>
        <item x="311"/>
        <item x="58"/>
        <item x="167"/>
        <item x="18"/>
        <item x="100"/>
        <item x="116"/>
        <item x="390"/>
        <item x="10"/>
        <item x="140"/>
        <item x="207"/>
        <item x="383"/>
        <item x="115"/>
        <item x="69"/>
        <item x="30"/>
        <item x="382"/>
        <item x="27"/>
        <item x="86"/>
        <item x="26"/>
        <item x="292"/>
        <item x="414"/>
        <item x="151"/>
        <item x="455"/>
        <item x="214"/>
        <item x="310"/>
        <item x="226"/>
        <item x="281"/>
        <item x="391"/>
        <item x="99"/>
        <item x="164"/>
        <item x="353"/>
        <item x="350"/>
        <item x="294"/>
        <item x="357"/>
        <item x="212"/>
        <item x="282"/>
        <item x="135"/>
        <item x="5"/>
        <item x="470"/>
        <item x="445"/>
        <item x="203"/>
        <item x="154"/>
        <item x="144"/>
        <item x="283"/>
        <item x="83"/>
        <item x="188"/>
        <item x="356"/>
        <item x="137"/>
        <item x="221"/>
        <item x="253"/>
        <item x="421"/>
        <item x="118"/>
        <item x="288"/>
        <item t="default"/>
      </items>
    </pivotField>
    <pivotField axis="axisRow" numFmtId="14" showAll="0">
      <items count="166">
        <item x="101"/>
        <item x="0"/>
        <item x="105"/>
        <item x="32"/>
        <item x="95"/>
        <item x="38"/>
        <item x="146"/>
        <item x="34"/>
        <item x="23"/>
        <item x="45"/>
        <item x="78"/>
        <item x="129"/>
        <item x="5"/>
        <item x="42"/>
        <item x="20"/>
        <item x="29"/>
        <item x="2"/>
        <item x="6"/>
        <item x="145"/>
        <item x="62"/>
        <item x="135"/>
        <item x="92"/>
        <item x="65"/>
        <item x="26"/>
        <item x="3"/>
        <item x="97"/>
        <item x="164"/>
        <item x="36"/>
        <item x="125"/>
        <item x="103"/>
        <item x="154"/>
        <item x="108"/>
        <item x="35"/>
        <item x="157"/>
        <item x="16"/>
        <item x="156"/>
        <item x="141"/>
        <item x="107"/>
        <item x="57"/>
        <item x="104"/>
        <item x="126"/>
        <item x="74"/>
        <item x="124"/>
        <item x="120"/>
        <item x="110"/>
        <item x="116"/>
        <item x="8"/>
        <item x="114"/>
        <item x="98"/>
        <item x="66"/>
        <item x="70"/>
        <item x="14"/>
        <item x="87"/>
        <item x="127"/>
        <item x="27"/>
        <item x="111"/>
        <item x="148"/>
        <item x="118"/>
        <item x="128"/>
        <item x="41"/>
        <item x="99"/>
        <item x="89"/>
        <item x="30"/>
        <item x="113"/>
        <item x="56"/>
        <item x="76"/>
        <item x="155"/>
        <item x="81"/>
        <item x="131"/>
        <item x="13"/>
        <item x="61"/>
        <item x="94"/>
        <item x="64"/>
        <item x="73"/>
        <item x="31"/>
        <item x="28"/>
        <item x="152"/>
        <item x="12"/>
        <item x="71"/>
        <item x="137"/>
        <item x="49"/>
        <item x="119"/>
        <item x="40"/>
        <item x="144"/>
        <item x="121"/>
        <item x="7"/>
        <item x="11"/>
        <item x="109"/>
        <item x="93"/>
        <item x="161"/>
        <item x="63"/>
        <item x="21"/>
        <item x="22"/>
        <item x="132"/>
        <item x="163"/>
        <item x="15"/>
        <item x="9"/>
        <item x="50"/>
        <item x="96"/>
        <item x="84"/>
        <item x="112"/>
        <item x="88"/>
        <item x="82"/>
        <item x="39"/>
        <item x="162"/>
        <item x="143"/>
        <item x="147"/>
        <item x="122"/>
        <item x="79"/>
        <item x="55"/>
        <item x="47"/>
        <item x="138"/>
        <item x="69"/>
        <item x="48"/>
        <item x="58"/>
        <item x="18"/>
        <item x="43"/>
        <item x="1"/>
        <item x="102"/>
        <item x="54"/>
        <item x="51"/>
        <item x="139"/>
        <item x="4"/>
        <item x="37"/>
        <item x="151"/>
        <item x="52"/>
        <item x="140"/>
        <item x="123"/>
        <item x="150"/>
        <item x="100"/>
        <item x="83"/>
        <item x="72"/>
        <item x="136"/>
        <item x="134"/>
        <item x="24"/>
        <item x="17"/>
        <item x="68"/>
        <item x="44"/>
        <item x="10"/>
        <item x="160"/>
        <item x="90"/>
        <item x="85"/>
        <item x="60"/>
        <item x="117"/>
        <item x="133"/>
        <item x="153"/>
        <item x="80"/>
        <item x="46"/>
        <item x="158"/>
        <item x="91"/>
        <item x="53"/>
        <item x="19"/>
        <item x="142"/>
        <item x="130"/>
        <item x="115"/>
        <item x="159"/>
        <item x="75"/>
        <item x="59"/>
        <item x="106"/>
        <item x="33"/>
        <item x="86"/>
        <item x="77"/>
        <item x="25"/>
        <item x="149"/>
        <item x="67"/>
        <item t="default"/>
      </items>
    </pivotField>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12"/>
    <field x="7"/>
  </rowFields>
  <rowItems count="7">
    <i>
      <x v="1"/>
    </i>
    <i>
      <x v="2"/>
    </i>
    <i>
      <x v="3"/>
    </i>
    <i>
      <x v="4"/>
    </i>
    <i>
      <x v="5"/>
    </i>
    <i>
      <x v="6"/>
    </i>
    <i t="grand">
      <x/>
    </i>
  </rowItems>
  <colItems count="1">
    <i/>
  </colItems>
  <dataFields count="1">
    <dataField name="Sum of Total Amount" fld="6" baseField="0" baseItem="0"/>
  </dataFields>
  <formats count="1">
    <format dxfId="28">
      <pivotArea grandRow="1" outline="0" collapsedLevelsAreSubtotals="1" fieldPosition="0"/>
    </format>
  </formats>
  <chartFormats count="3">
    <chartFormat chart="8"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A417058-D8DF-4B57-BE81-EF2DB7C767A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rowHeaderCaption="Shop Branch">
  <location ref="A1:B9" firstHeaderRow="1" firstDataRow="1" firstDataCol="1"/>
  <pivotFields count="13">
    <pivotField showAll="0"/>
    <pivotField showAll="0"/>
    <pivotField showAll="0"/>
    <pivotField showAll="0"/>
    <pivotField showAll="0"/>
    <pivotField showAll="0"/>
    <pivotField dataField="1" showAll="0">
      <items count="501">
        <item x="244"/>
        <item x="274"/>
        <item x="475"/>
        <item x="395"/>
        <item x="37"/>
        <item x="184"/>
        <item x="346"/>
        <item x="466"/>
        <item x="280"/>
        <item x="33"/>
        <item x="132"/>
        <item x="170"/>
        <item x="385"/>
        <item x="119"/>
        <item x="145"/>
        <item x="236"/>
        <item x="297"/>
        <item x="477"/>
        <item x="453"/>
        <item x="368"/>
        <item x="166"/>
        <item x="300"/>
        <item x="269"/>
        <item x="446"/>
        <item x="426"/>
        <item x="161"/>
        <item x="301"/>
        <item x="372"/>
        <item x="287"/>
        <item x="38"/>
        <item x="436"/>
        <item x="94"/>
        <item x="442"/>
        <item x="200"/>
        <item x="492"/>
        <item x="168"/>
        <item x="443"/>
        <item x="39"/>
        <item x="460"/>
        <item x="451"/>
        <item x="159"/>
        <item x="41"/>
        <item x="215"/>
        <item x="56"/>
        <item x="308"/>
        <item x="139"/>
        <item x="268"/>
        <item x="148"/>
        <item x="217"/>
        <item x="153"/>
        <item x="160"/>
        <item x="290"/>
        <item x="409"/>
        <item x="163"/>
        <item x="187"/>
        <item x="189"/>
        <item x="465"/>
        <item x="240"/>
        <item x="471"/>
        <item x="327"/>
        <item x="332"/>
        <item x="317"/>
        <item x="428"/>
        <item x="447"/>
        <item x="430"/>
        <item x="400"/>
        <item x="91"/>
        <item x="82"/>
        <item x="35"/>
        <item x="472"/>
        <item x="379"/>
        <item x="60"/>
        <item x="398"/>
        <item x="319"/>
        <item x="245"/>
        <item x="479"/>
        <item x="44"/>
        <item x="133"/>
        <item x="15"/>
        <item x="32"/>
        <item x="36"/>
        <item x="360"/>
        <item x="68"/>
        <item x="6"/>
        <item x="415"/>
        <item x="126"/>
        <item x="262"/>
        <item x="19"/>
        <item x="365"/>
        <item x="47"/>
        <item x="275"/>
        <item x="490"/>
        <item x="302"/>
        <item x="469"/>
        <item x="425"/>
        <item x="17"/>
        <item x="435"/>
        <item x="494"/>
        <item x="28"/>
        <item x="449"/>
        <item x="90"/>
        <item x="278"/>
        <item x="260"/>
        <item x="396"/>
        <item x="487"/>
        <item x="216"/>
        <item x="273"/>
        <item x="376"/>
        <item x="197"/>
        <item x="296"/>
        <item x="489"/>
        <item x="25"/>
        <item x="138"/>
        <item x="321"/>
        <item x="481"/>
        <item x="441"/>
        <item x="417"/>
        <item x="208"/>
        <item x="397"/>
        <item x="218"/>
        <item x="322"/>
        <item x="88"/>
        <item x="497"/>
        <item x="485"/>
        <item x="234"/>
        <item x="224"/>
        <item x="420"/>
        <item x="476"/>
        <item x="484"/>
        <item x="261"/>
        <item x="252"/>
        <item x="185"/>
        <item x="412"/>
        <item x="134"/>
        <item x="408"/>
        <item x="424"/>
        <item x="43"/>
        <item x="128"/>
        <item x="84"/>
        <item x="178"/>
        <item x="75"/>
        <item x="326"/>
        <item x="124"/>
        <item x="125"/>
        <item x="66"/>
        <item x="403"/>
        <item x="129"/>
        <item x="293"/>
        <item x="316"/>
        <item x="81"/>
        <item x="289"/>
        <item x="22"/>
        <item x="74"/>
        <item x="235"/>
        <item x="237"/>
        <item x="14"/>
        <item x="325"/>
        <item x="114"/>
        <item x="266"/>
        <item x="110"/>
        <item x="77"/>
        <item x="402"/>
        <item x="473"/>
        <item x="284"/>
        <item x="295"/>
        <item x="0"/>
        <item x="157"/>
        <item x="65"/>
        <item x="248"/>
        <item x="429"/>
        <item x="488"/>
        <item x="105"/>
        <item x="23"/>
        <item x="404"/>
        <item x="495"/>
        <item x="76"/>
        <item x="40"/>
        <item x="79"/>
        <item x="344"/>
        <item x="169"/>
        <item x="468"/>
        <item x="104"/>
        <item x="377"/>
        <item x="456"/>
        <item x="359"/>
        <item x="95"/>
        <item x="20"/>
        <item x="419"/>
        <item x="437"/>
        <item x="457"/>
        <item x="24"/>
        <item x="162"/>
        <item x="345"/>
        <item x="336"/>
        <item x="483"/>
        <item x="388"/>
        <item x="112"/>
        <item x="314"/>
        <item x="285"/>
        <item x="180"/>
        <item x="363"/>
        <item x="113"/>
        <item x="227"/>
        <item x="399"/>
        <item x="196"/>
        <item x="80"/>
        <item x="109"/>
        <item x="352"/>
        <item x="101"/>
        <item x="92"/>
        <item x="9"/>
        <item x="432"/>
        <item x="45"/>
        <item x="71"/>
        <item x="427"/>
        <item x="361"/>
        <item x="463"/>
        <item x="12"/>
        <item x="192"/>
        <item x="328"/>
        <item x="299"/>
        <item x="452"/>
        <item x="304"/>
        <item x="374"/>
        <item x="130"/>
        <item x="213"/>
        <item x="142"/>
        <item x="406"/>
        <item x="401"/>
        <item x="286"/>
        <item x="482"/>
        <item x="493"/>
        <item x="438"/>
        <item x="123"/>
        <item x="267"/>
        <item x="339"/>
        <item x="93"/>
        <item x="1"/>
        <item x="315"/>
        <item x="52"/>
        <item x="220"/>
        <item x="21"/>
        <item x="211"/>
        <item x="222"/>
        <item x="136"/>
        <item x="228"/>
        <item x="386"/>
        <item x="51"/>
        <item x="230"/>
        <item x="165"/>
        <item x="54"/>
        <item x="433"/>
        <item x="209"/>
        <item x="97"/>
        <item x="175"/>
        <item x="46"/>
        <item x="343"/>
        <item x="59"/>
        <item x="413"/>
        <item x="347"/>
        <item x="229"/>
        <item x="149"/>
        <item x="156"/>
        <item x="334"/>
        <item x="249"/>
        <item x="173"/>
        <item x="232"/>
        <item x="392"/>
        <item x="313"/>
        <item x="67"/>
        <item x="263"/>
        <item x="62"/>
        <item x="193"/>
        <item x="416"/>
        <item x="370"/>
        <item x="448"/>
        <item x="29"/>
        <item x="306"/>
        <item x="351"/>
        <item x="323"/>
        <item x="201"/>
        <item x="243"/>
        <item x="486"/>
        <item x="307"/>
        <item x="55"/>
        <item x="387"/>
        <item x="324"/>
        <item x="61"/>
        <item x="182"/>
        <item x="366"/>
        <item x="64"/>
        <item x="176"/>
        <item x="474"/>
        <item x="146"/>
        <item x="378"/>
        <item x="42"/>
        <item x="120"/>
        <item x="358"/>
        <item x="349"/>
        <item x="279"/>
        <item x="381"/>
        <item x="147"/>
        <item x="496"/>
        <item x="102"/>
        <item x="364"/>
        <item x="2"/>
        <item x="186"/>
        <item x="277"/>
        <item x="16"/>
        <item x="461"/>
        <item x="256"/>
        <item x="371"/>
        <item x="265"/>
        <item x="181"/>
        <item x="205"/>
        <item x="331"/>
        <item x="450"/>
        <item x="423"/>
        <item x="111"/>
        <item x="121"/>
        <item x="411"/>
        <item x="251"/>
        <item x="4"/>
        <item x="257"/>
        <item x="335"/>
        <item x="127"/>
        <item x="462"/>
        <item x="183"/>
        <item x="312"/>
        <item x="491"/>
        <item x="418"/>
        <item x="338"/>
        <item x="340"/>
        <item x="464"/>
        <item x="242"/>
        <item x="190"/>
        <item x="155"/>
        <item x="122"/>
        <item x="7"/>
        <item x="439"/>
        <item x="298"/>
        <item x="53"/>
        <item x="329"/>
        <item x="72"/>
        <item x="241"/>
        <item x="191"/>
        <item x="171"/>
        <item x="291"/>
        <item x="223"/>
        <item x="354"/>
        <item x="117"/>
        <item x="143"/>
        <item x="70"/>
        <item x="458"/>
        <item x="271"/>
        <item x="87"/>
        <item x="373"/>
        <item x="202"/>
        <item x="454"/>
        <item x="330"/>
        <item x="444"/>
        <item x="96"/>
        <item x="270"/>
        <item x="480"/>
        <item x="255"/>
        <item x="158"/>
        <item x="11"/>
        <item x="131"/>
        <item x="375"/>
        <item x="233"/>
        <item x="49"/>
        <item x="434"/>
        <item x="467"/>
        <item x="103"/>
        <item x="31"/>
        <item x="174"/>
        <item x="246"/>
        <item x="199"/>
        <item x="258"/>
        <item x="341"/>
        <item x="78"/>
        <item x="204"/>
        <item x="410"/>
        <item x="13"/>
        <item x="152"/>
        <item x="48"/>
        <item x="318"/>
        <item x="108"/>
        <item x="141"/>
        <item x="57"/>
        <item x="276"/>
        <item x="380"/>
        <item x="225"/>
        <item x="63"/>
        <item x="259"/>
        <item x="342"/>
        <item x="254"/>
        <item x="393"/>
        <item x="98"/>
        <item x="231"/>
        <item x="210"/>
        <item x="422"/>
        <item x="305"/>
        <item x="407"/>
        <item x="320"/>
        <item x="264"/>
        <item x="3"/>
        <item x="498"/>
        <item x="405"/>
        <item x="303"/>
        <item x="85"/>
        <item x="150"/>
        <item x="272"/>
        <item x="478"/>
        <item x="89"/>
        <item x="367"/>
        <item x="459"/>
        <item x="499"/>
        <item x="337"/>
        <item x="238"/>
        <item x="250"/>
        <item x="73"/>
        <item x="333"/>
        <item x="198"/>
        <item x="431"/>
        <item x="239"/>
        <item x="247"/>
        <item x="107"/>
        <item x="309"/>
        <item x="179"/>
        <item x="369"/>
        <item x="106"/>
        <item x="394"/>
        <item x="34"/>
        <item x="194"/>
        <item x="362"/>
        <item x="355"/>
        <item x="177"/>
        <item x="8"/>
        <item x="384"/>
        <item x="440"/>
        <item x="206"/>
        <item x="219"/>
        <item x="172"/>
        <item x="50"/>
        <item x="389"/>
        <item x="195"/>
        <item x="348"/>
        <item x="311"/>
        <item x="58"/>
        <item x="167"/>
        <item x="18"/>
        <item x="100"/>
        <item x="116"/>
        <item x="390"/>
        <item x="10"/>
        <item x="140"/>
        <item x="207"/>
        <item x="383"/>
        <item x="115"/>
        <item x="69"/>
        <item x="30"/>
        <item x="382"/>
        <item x="27"/>
        <item x="86"/>
        <item x="26"/>
        <item x="292"/>
        <item x="414"/>
        <item x="151"/>
        <item x="455"/>
        <item x="214"/>
        <item x="310"/>
        <item x="226"/>
        <item x="281"/>
        <item x="391"/>
        <item x="99"/>
        <item x="164"/>
        <item x="353"/>
        <item x="350"/>
        <item x="294"/>
        <item x="357"/>
        <item x="212"/>
        <item x="282"/>
        <item x="135"/>
        <item x="5"/>
        <item x="470"/>
        <item x="445"/>
        <item x="203"/>
        <item x="154"/>
        <item x="144"/>
        <item x="283"/>
        <item x="83"/>
        <item x="188"/>
        <item x="356"/>
        <item x="137"/>
        <item x="221"/>
        <item x="253"/>
        <item x="421"/>
        <item x="118"/>
        <item x="288"/>
        <item t="default"/>
      </items>
    </pivotField>
    <pivotField numFmtId="14" showAll="0">
      <items count="166">
        <item x="101"/>
        <item x="0"/>
        <item x="105"/>
        <item x="32"/>
        <item x="95"/>
        <item x="38"/>
        <item x="146"/>
        <item x="34"/>
        <item x="23"/>
        <item x="45"/>
        <item x="78"/>
        <item x="129"/>
        <item x="5"/>
        <item x="42"/>
        <item x="20"/>
        <item x="29"/>
        <item x="2"/>
        <item x="6"/>
        <item x="145"/>
        <item x="62"/>
        <item x="135"/>
        <item x="92"/>
        <item x="65"/>
        <item x="26"/>
        <item x="3"/>
        <item x="97"/>
        <item x="164"/>
        <item x="36"/>
        <item x="125"/>
        <item x="103"/>
        <item x="154"/>
        <item x="108"/>
        <item x="35"/>
        <item x="157"/>
        <item x="16"/>
        <item x="156"/>
        <item x="141"/>
        <item x="107"/>
        <item x="57"/>
        <item x="104"/>
        <item x="126"/>
        <item x="74"/>
        <item x="124"/>
        <item x="120"/>
        <item x="110"/>
        <item x="116"/>
        <item x="8"/>
        <item x="114"/>
        <item x="98"/>
        <item x="66"/>
        <item x="70"/>
        <item x="14"/>
        <item x="87"/>
        <item x="127"/>
        <item x="27"/>
        <item x="111"/>
        <item x="148"/>
        <item x="118"/>
        <item x="128"/>
        <item x="41"/>
        <item x="99"/>
        <item x="89"/>
        <item x="30"/>
        <item x="113"/>
        <item x="56"/>
        <item x="76"/>
        <item x="155"/>
        <item x="81"/>
        <item x="131"/>
        <item x="13"/>
        <item x="61"/>
        <item x="94"/>
        <item x="64"/>
        <item x="73"/>
        <item x="31"/>
        <item x="28"/>
        <item x="152"/>
        <item x="12"/>
        <item x="71"/>
        <item x="137"/>
        <item x="49"/>
        <item x="119"/>
        <item x="40"/>
        <item x="144"/>
        <item x="121"/>
        <item x="7"/>
        <item x="11"/>
        <item x="109"/>
        <item x="93"/>
        <item x="161"/>
        <item x="63"/>
        <item x="21"/>
        <item x="22"/>
        <item x="132"/>
        <item x="163"/>
        <item x="15"/>
        <item x="9"/>
        <item x="50"/>
        <item x="96"/>
        <item x="84"/>
        <item x="112"/>
        <item x="88"/>
        <item x="82"/>
        <item x="39"/>
        <item x="162"/>
        <item x="143"/>
        <item x="147"/>
        <item x="122"/>
        <item x="79"/>
        <item x="55"/>
        <item x="47"/>
        <item x="138"/>
        <item x="69"/>
        <item x="48"/>
        <item x="58"/>
        <item x="18"/>
        <item x="43"/>
        <item x="1"/>
        <item x="102"/>
        <item x="54"/>
        <item x="51"/>
        <item x="139"/>
        <item x="4"/>
        <item x="37"/>
        <item x="151"/>
        <item x="52"/>
        <item x="140"/>
        <item x="123"/>
        <item x="150"/>
        <item x="100"/>
        <item x="83"/>
        <item x="72"/>
        <item x="136"/>
        <item x="134"/>
        <item x="24"/>
        <item x="17"/>
        <item x="68"/>
        <item x="44"/>
        <item x="10"/>
        <item x="160"/>
        <item x="90"/>
        <item x="85"/>
        <item x="60"/>
        <item x="117"/>
        <item x="133"/>
        <item x="153"/>
        <item x="80"/>
        <item x="46"/>
        <item x="158"/>
        <item x="91"/>
        <item x="53"/>
        <item x="19"/>
        <item x="142"/>
        <item x="130"/>
        <item x="115"/>
        <item x="159"/>
        <item x="75"/>
        <item x="59"/>
        <item x="106"/>
        <item x="33"/>
        <item x="86"/>
        <item x="77"/>
        <item x="25"/>
        <item x="149"/>
        <item x="67"/>
        <item t="default"/>
      </items>
    </pivotField>
    <pivotField axis="axisRow" showAll="0">
      <items count="8">
        <item x="0"/>
        <item x="2"/>
        <item x="1"/>
        <item x="3"/>
        <item x="4"/>
        <item x="5"/>
        <item x="6"/>
        <item t="default"/>
      </items>
    </pivotField>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8"/>
  </rowFields>
  <rowItems count="8">
    <i>
      <x/>
    </i>
    <i>
      <x v="1"/>
    </i>
    <i>
      <x v="2"/>
    </i>
    <i>
      <x v="3"/>
    </i>
    <i>
      <x v="4"/>
    </i>
    <i>
      <x v="5"/>
    </i>
    <i>
      <x v="6"/>
    </i>
    <i t="grand">
      <x/>
    </i>
  </rowItems>
  <colItems count="1">
    <i/>
  </colItems>
  <dataFields count="1">
    <dataField name="Each Branch Sales" fld="6"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 chart="0" format="4">
      <pivotArea type="data" outline="0" fieldPosition="0">
        <references count="2">
          <reference field="4294967294" count="1" selected="0">
            <x v="0"/>
          </reference>
          <reference field="8" count="1" selected="0">
            <x v="3"/>
          </reference>
        </references>
      </pivotArea>
    </chartFormat>
    <chartFormat chart="0" format="5">
      <pivotArea type="data" outline="0" fieldPosition="0">
        <references count="2">
          <reference field="4294967294" count="1" selected="0">
            <x v="0"/>
          </reference>
          <reference field="8" count="1" selected="0">
            <x v="4"/>
          </reference>
        </references>
      </pivotArea>
    </chartFormat>
    <chartFormat chart="0" format="6">
      <pivotArea type="data" outline="0" fieldPosition="0">
        <references count="2">
          <reference field="4294967294" count="1" selected="0">
            <x v="0"/>
          </reference>
          <reference field="8" count="1" selected="0">
            <x v="5"/>
          </reference>
        </references>
      </pivotArea>
    </chartFormat>
    <chartFormat chart="0" format="7">
      <pivotArea type="data" outline="0" fieldPosition="0">
        <references count="2">
          <reference field="4294967294" count="1" selected="0">
            <x v="0"/>
          </reference>
          <reference field="8" count="1" selected="0">
            <x v="6"/>
          </reference>
        </references>
      </pivotArea>
    </chartFormat>
    <chartFormat chart="9" format="10" series="1">
      <pivotArea type="data" outline="0" fieldPosition="0">
        <references count="1">
          <reference field="4294967294" count="1" selected="0">
            <x v="0"/>
          </reference>
        </references>
      </pivotArea>
    </chartFormat>
    <chartFormat chart="9" format="11">
      <pivotArea type="data" outline="0" fieldPosition="0">
        <references count="2">
          <reference field="4294967294" count="1" selected="0">
            <x v="0"/>
          </reference>
          <reference field="8" count="1" selected="0">
            <x v="1"/>
          </reference>
        </references>
      </pivotArea>
    </chartFormat>
    <chartFormat chart="22" format="14" series="1">
      <pivotArea type="data" outline="0" fieldPosition="0">
        <references count="1">
          <reference field="4294967294" count="1" selected="0">
            <x v="0"/>
          </reference>
        </references>
      </pivotArea>
    </chartFormat>
    <chartFormat chart="22" format="15">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5AAAEF9-D9A8-47DE-9550-461C14E20194}" name="PivotTable1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7" rowHeaderCaption="Product Category">
  <location ref="A3:C17" firstHeaderRow="0" firstDataRow="1" firstDataCol="1"/>
  <pivotFields count="3">
    <pivotField axis="axisRow" showAll="0">
      <items count="14">
        <item x="0"/>
        <item x="1"/>
        <item x="2"/>
        <item x="3"/>
        <item x="4"/>
        <item x="5"/>
        <item x="6"/>
        <item x="7"/>
        <item x="8"/>
        <item x="9"/>
        <item x="12"/>
        <item x="10"/>
        <item x="11"/>
        <item t="default"/>
      </items>
    </pivotField>
    <pivotField dataField="1" showAll="0">
      <items count="14">
        <item x="0"/>
        <item x="2"/>
        <item x="11"/>
        <item x="4"/>
        <item x="9"/>
        <item x="1"/>
        <item x="8"/>
        <item x="6"/>
        <item x="5"/>
        <item x="10"/>
        <item x="3"/>
        <item x="7"/>
        <item x="12"/>
        <item t="default"/>
      </items>
    </pivotField>
    <pivotField dataField="1" numFmtId="10" showAll="0">
      <items count="14">
        <item x="0"/>
        <item x="2"/>
        <item x="11"/>
        <item x="4"/>
        <item x="9"/>
        <item x="1"/>
        <item x="8"/>
        <item x="6"/>
        <item x="5"/>
        <item x="10"/>
        <item x="3"/>
        <item x="7"/>
        <item x="12"/>
        <item t="default"/>
      </items>
    </pivotField>
  </pivotFields>
  <rowFields count="1">
    <field x="0"/>
  </rowFields>
  <rowItems count="14">
    <i>
      <x/>
    </i>
    <i>
      <x v="1"/>
    </i>
    <i>
      <x v="2"/>
    </i>
    <i>
      <x v="3"/>
    </i>
    <i>
      <x v="4"/>
    </i>
    <i>
      <x v="5"/>
    </i>
    <i>
      <x v="6"/>
    </i>
    <i>
      <x v="7"/>
    </i>
    <i>
      <x v="8"/>
    </i>
    <i>
      <x v="9"/>
    </i>
    <i>
      <x v="10"/>
    </i>
    <i>
      <x v="11"/>
    </i>
    <i>
      <x v="12"/>
    </i>
    <i t="grand">
      <x/>
    </i>
  </rowItems>
  <colFields count="1">
    <field x="-2"/>
  </colFields>
  <colItems count="2">
    <i>
      <x/>
    </i>
    <i i="1">
      <x v="1"/>
    </i>
  </colItems>
  <dataFields count="2">
    <dataField name=" Sum Of Product" fld="1" baseField="0" baseItem="0"/>
    <dataField name="Sum of % Contribution" fld="2" baseField="0" baseItem="0" numFmtId="10"/>
  </dataFields>
  <chartFormats count="2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2"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1"/>
          </reference>
        </references>
      </pivotArea>
    </chartFormat>
    <chartFormat chart="34" format="8" series="1">
      <pivotArea type="data" outline="0" fieldPosition="0">
        <references count="1">
          <reference field="4294967294" count="1" selected="0">
            <x v="0"/>
          </reference>
        </references>
      </pivotArea>
    </chartFormat>
    <chartFormat chart="34" format="9" series="1">
      <pivotArea type="data" outline="0" fieldPosition="0">
        <references count="1">
          <reference field="4294967294" count="1" selected="0">
            <x v="1"/>
          </reference>
        </references>
      </pivotArea>
    </chartFormat>
    <chartFormat chart="35" format="0" series="1">
      <pivotArea type="data" outline="0" fieldPosition="0">
        <references count="1">
          <reference field="4294967294" count="1" selected="0">
            <x v="0"/>
          </reference>
        </references>
      </pivotArea>
    </chartFormat>
    <chartFormat chart="35" format="1" series="1">
      <pivotArea type="data" outline="0" fieldPosition="0">
        <references count="1">
          <reference field="4294967294" count="1" selected="0">
            <x v="1"/>
          </reference>
        </references>
      </pivotArea>
    </chartFormat>
    <chartFormat chart="42" format="0" series="1">
      <pivotArea type="data" outline="0" fieldPosition="0">
        <references count="1">
          <reference field="4294967294" count="1" selected="0">
            <x v="0"/>
          </reference>
        </references>
      </pivotArea>
    </chartFormat>
    <chartFormat chart="42" format="1" series="1">
      <pivotArea type="data" outline="0" fieldPosition="0">
        <references count="1">
          <reference field="4294967294" count="1" selected="0">
            <x v="1"/>
          </reference>
        </references>
      </pivotArea>
    </chartFormat>
    <chartFormat chart="43" format="0" series="1">
      <pivotArea type="data" outline="0" fieldPosition="0">
        <references count="1">
          <reference field="4294967294" count="1" selected="0">
            <x v="0"/>
          </reference>
        </references>
      </pivotArea>
    </chartFormat>
    <chartFormat chart="43" format="1" series="1">
      <pivotArea type="data" outline="0" fieldPosition="0">
        <references count="1">
          <reference field="4294967294" count="1" selected="0">
            <x v="1"/>
          </reference>
        </references>
      </pivotArea>
    </chartFormat>
    <chartFormat chart="44" format="0" series="1">
      <pivotArea type="data" outline="0" fieldPosition="0">
        <references count="1">
          <reference field="4294967294" count="1" selected="0">
            <x v="0"/>
          </reference>
        </references>
      </pivotArea>
    </chartFormat>
    <chartFormat chart="44" format="1" series="1">
      <pivotArea type="data" outline="0" fieldPosition="0">
        <references count="1">
          <reference field="4294967294" count="1" selected="0">
            <x v="1"/>
          </reference>
        </references>
      </pivotArea>
    </chartFormat>
    <chartFormat chart="47" format="12" series="1">
      <pivotArea type="data" outline="0" fieldPosition="0">
        <references count="1">
          <reference field="4294967294" count="1" selected="0">
            <x v="0"/>
          </reference>
        </references>
      </pivotArea>
    </chartFormat>
    <chartFormat chart="47" format="13" series="1">
      <pivotArea type="data" outline="0" fieldPosition="0">
        <references count="1">
          <reference field="4294967294" count="1" selected="0">
            <x v="1"/>
          </reference>
        </references>
      </pivotArea>
    </chartFormat>
    <chartFormat chart="53" format="10" series="1">
      <pivotArea type="data" outline="0" fieldPosition="0">
        <references count="1">
          <reference field="4294967294" count="1" selected="0">
            <x v="0"/>
          </reference>
        </references>
      </pivotArea>
    </chartFormat>
    <chartFormat chart="53" format="11" series="1">
      <pivotArea type="data" outline="0" fieldPosition="0">
        <references count="1">
          <reference field="4294967294" count="1" selected="0">
            <x v="1"/>
          </reference>
        </references>
      </pivotArea>
    </chartFormat>
    <chartFormat chart="54" format="12" series="1">
      <pivotArea type="data" outline="0" fieldPosition="0">
        <references count="1">
          <reference field="4294967294" count="1" selected="0">
            <x v="0"/>
          </reference>
        </references>
      </pivotArea>
    </chartFormat>
    <chartFormat chart="54" format="13" series="1">
      <pivotArea type="data" outline="0" fieldPosition="0">
        <references count="1">
          <reference field="4294967294" count="1" selected="0">
            <x v="1"/>
          </reference>
        </references>
      </pivotArea>
    </chartFormat>
    <chartFormat chart="57" format="0" series="1">
      <pivotArea type="data" outline="0" fieldPosition="0">
        <references count="1">
          <reference field="4294967294" count="1" selected="0">
            <x v="0"/>
          </reference>
        </references>
      </pivotArea>
    </chartFormat>
    <chartFormat chart="57" format="1" series="1">
      <pivotArea type="data" outline="0" fieldPosition="0">
        <references count="1">
          <reference field="4294967294" count="1" selected="0">
            <x v="1"/>
          </reference>
        </references>
      </pivotArea>
    </chartFormat>
    <chartFormat chart="65" format="10" series="1">
      <pivotArea type="data" outline="0" fieldPosition="0">
        <references count="1">
          <reference field="4294967294" count="1" selected="0">
            <x v="0"/>
          </reference>
        </references>
      </pivotArea>
    </chartFormat>
    <chartFormat chart="65" format="11" series="1">
      <pivotArea type="data" outline="0" fieldPosition="0">
        <references count="1">
          <reference field="4294967294" count="1" selected="0">
            <x v="1"/>
          </reference>
        </references>
      </pivotArea>
    </chartFormat>
    <chartFormat chart="66" format="12" series="1">
      <pivotArea type="data" outline="0" fieldPosition="0">
        <references count="1">
          <reference field="4294967294" count="1" selected="0">
            <x v="0"/>
          </reference>
        </references>
      </pivotArea>
    </chartFormat>
    <chartFormat chart="66" format="13" series="1">
      <pivotArea type="data" outline="0" fieldPosition="0">
        <references count="1">
          <reference field="4294967294" count="1" selected="0">
            <x v="1"/>
          </reference>
        </references>
      </pivotArea>
    </chartFormat>
    <chartFormat chart="60" format="14" series="1">
      <pivotArea type="data" outline="0" fieldPosition="0">
        <references count="1">
          <reference field="4294967294" count="1" selected="0">
            <x v="0"/>
          </reference>
        </references>
      </pivotArea>
    </chartFormat>
    <chartFormat chart="60" format="1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44AC78D-A65B-4584-8189-8B000455E835}" name="PivotTable2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M82" firstHeaderRow="0" firstDataRow="1" firstDataCol="1"/>
  <pivotFields count="4">
    <pivotField axis="axisRow" showAll="0">
      <items count="13">
        <item x="1"/>
        <item x="7"/>
        <item x="11"/>
        <item x="5"/>
        <item x="0"/>
        <item x="9"/>
        <item x="10"/>
        <item x="3"/>
        <item x="2"/>
        <item x="8"/>
        <item x="6"/>
        <item x="4"/>
        <item t="default"/>
      </items>
    </pivotField>
    <pivotField axis="axisRow" showAll="0">
      <items count="7">
        <item x="0"/>
        <item x="3"/>
        <item x="2"/>
        <item x="4"/>
        <item x="1"/>
        <item x="5"/>
        <item t="default"/>
      </items>
    </pivotField>
    <pivotField dataField="1" showAll="0"/>
    <pivotField dataField="1" showAll="0"/>
  </pivotFields>
  <rowFields count="2">
    <field x="1"/>
    <field x="0"/>
  </rowFields>
  <rowItems count="79">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x v="3"/>
    </i>
    <i r="1">
      <x/>
    </i>
    <i r="1">
      <x v="1"/>
    </i>
    <i r="1">
      <x v="2"/>
    </i>
    <i r="1">
      <x v="3"/>
    </i>
    <i r="1">
      <x v="4"/>
    </i>
    <i r="1">
      <x v="5"/>
    </i>
    <i r="1">
      <x v="6"/>
    </i>
    <i r="1">
      <x v="7"/>
    </i>
    <i r="1">
      <x v="8"/>
    </i>
    <i r="1">
      <x v="9"/>
    </i>
    <i r="1">
      <x v="10"/>
    </i>
    <i r="1">
      <x v="11"/>
    </i>
    <i>
      <x v="4"/>
    </i>
    <i r="1">
      <x/>
    </i>
    <i r="1">
      <x v="1"/>
    </i>
    <i r="1">
      <x v="2"/>
    </i>
    <i r="1">
      <x v="3"/>
    </i>
    <i r="1">
      <x v="4"/>
    </i>
    <i r="1">
      <x v="5"/>
    </i>
    <i r="1">
      <x v="6"/>
    </i>
    <i r="1">
      <x v="7"/>
    </i>
    <i r="1">
      <x v="8"/>
    </i>
    <i r="1">
      <x v="9"/>
    </i>
    <i r="1">
      <x v="10"/>
    </i>
    <i r="1">
      <x v="11"/>
    </i>
    <i>
      <x v="5"/>
    </i>
    <i r="1">
      <x/>
    </i>
    <i r="1">
      <x v="1"/>
    </i>
    <i r="1">
      <x v="2"/>
    </i>
    <i r="1">
      <x v="3"/>
    </i>
    <i r="1">
      <x v="4"/>
    </i>
    <i r="1">
      <x v="5"/>
    </i>
    <i r="1">
      <x v="6"/>
    </i>
    <i r="1">
      <x v="7"/>
    </i>
    <i r="1">
      <x v="8"/>
    </i>
    <i r="1">
      <x v="9"/>
    </i>
    <i r="1">
      <x v="10"/>
    </i>
    <i r="1">
      <x v="11"/>
    </i>
    <i t="grand">
      <x/>
    </i>
  </rowItems>
  <colFields count="1">
    <field x="-2"/>
  </colFields>
  <colItems count="2">
    <i>
      <x/>
    </i>
    <i i="1">
      <x v="1"/>
    </i>
  </colItems>
  <dataFields count="2">
    <dataField name="Sum of Quantity" fld="2" baseField="0" baseItem="0"/>
    <dataField name="Sum of Price"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2235984-7F40-4A61-8A5C-6B43F1B95B5F}" sourceName="Category">
  <pivotTables>
    <pivotTable tabId="6" name="PivotTable6"/>
  </pivotTables>
  <data>
    <tabular pivotCacheId="25413695">
      <items count="6">
        <i x="1" s="1"/>
        <i x="3" s="1"/>
        <i x="0" s="1"/>
        <i x="2" s="1"/>
        <i x="5"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Amount" xr10:uid="{352A87DD-5C4B-4D31-8187-CCEEEB947EE8}" sourceName="Total Amount">
  <pivotTables>
    <pivotTable tabId="6" name="PivotTable6"/>
  </pivotTables>
  <data>
    <tabular pivotCacheId="25413695">
      <items count="500">
        <i x="244" s="1"/>
        <i x="274" s="1"/>
        <i x="475" s="1"/>
        <i x="395" s="1"/>
        <i x="37" s="1"/>
        <i x="184" s="1"/>
        <i x="346" s="1"/>
        <i x="466" s="1"/>
        <i x="280" s="1"/>
        <i x="33" s="1"/>
        <i x="132" s="1"/>
        <i x="170" s="1"/>
        <i x="385" s="1"/>
        <i x="119" s="1"/>
        <i x="145" s="1"/>
        <i x="236" s="1"/>
        <i x="297" s="1"/>
        <i x="477" s="1"/>
        <i x="453" s="1"/>
        <i x="368" s="1"/>
        <i x="166" s="1"/>
        <i x="300" s="1"/>
        <i x="269" s="1"/>
        <i x="446" s="1"/>
        <i x="426" s="1"/>
        <i x="161" s="1"/>
        <i x="301" s="1"/>
        <i x="372" s="1"/>
        <i x="287" s="1"/>
        <i x="38" s="1"/>
        <i x="436" s="1"/>
        <i x="94" s="1"/>
        <i x="442" s="1"/>
        <i x="200" s="1"/>
        <i x="492" s="1"/>
        <i x="168" s="1"/>
        <i x="443" s="1"/>
        <i x="39" s="1"/>
        <i x="460" s="1"/>
        <i x="451" s="1"/>
        <i x="159" s="1"/>
        <i x="41" s="1"/>
        <i x="215" s="1"/>
        <i x="56" s="1"/>
        <i x="308" s="1"/>
        <i x="139" s="1"/>
        <i x="268" s="1"/>
        <i x="148" s="1"/>
        <i x="217" s="1"/>
        <i x="153" s="1"/>
        <i x="160" s="1"/>
        <i x="290" s="1"/>
        <i x="409" s="1"/>
        <i x="163" s="1"/>
        <i x="187" s="1"/>
        <i x="189" s="1"/>
        <i x="465" s="1"/>
        <i x="240" s="1"/>
        <i x="471" s="1"/>
        <i x="327" s="1"/>
        <i x="332" s="1"/>
        <i x="317" s="1"/>
        <i x="428" s="1"/>
        <i x="447" s="1"/>
        <i x="430" s="1"/>
        <i x="400" s="1"/>
        <i x="91" s="1"/>
        <i x="82" s="1"/>
        <i x="35" s="1"/>
        <i x="472" s="1"/>
        <i x="379" s="1"/>
        <i x="60" s="1"/>
        <i x="398" s="1"/>
        <i x="319" s="1"/>
        <i x="245" s="1"/>
        <i x="479" s="1"/>
        <i x="44" s="1"/>
        <i x="133" s="1"/>
        <i x="15" s="1"/>
        <i x="32" s="1"/>
        <i x="36" s="1"/>
        <i x="360" s="1"/>
        <i x="68" s="1"/>
        <i x="6" s="1"/>
        <i x="415" s="1"/>
        <i x="126" s="1"/>
        <i x="262" s="1"/>
        <i x="19" s="1"/>
        <i x="365" s="1"/>
        <i x="47" s="1"/>
        <i x="275" s="1"/>
        <i x="490" s="1"/>
        <i x="302" s="1"/>
        <i x="469" s="1"/>
        <i x="425" s="1"/>
        <i x="17" s="1"/>
        <i x="435" s="1"/>
        <i x="494" s="1"/>
        <i x="28" s="1"/>
        <i x="449" s="1"/>
        <i x="90" s="1"/>
        <i x="278" s="1"/>
        <i x="260" s="1"/>
        <i x="396" s="1"/>
        <i x="487" s="1"/>
        <i x="216" s="1"/>
        <i x="273" s="1"/>
        <i x="376" s="1"/>
        <i x="197" s="1"/>
        <i x="296" s="1"/>
        <i x="489" s="1"/>
        <i x="25" s="1"/>
        <i x="138" s="1"/>
        <i x="321" s="1"/>
        <i x="481" s="1"/>
        <i x="441" s="1"/>
        <i x="417" s="1"/>
        <i x="208" s="1"/>
        <i x="397" s="1"/>
        <i x="218" s="1"/>
        <i x="322" s="1"/>
        <i x="88" s="1"/>
        <i x="497" s="1"/>
        <i x="485" s="1"/>
        <i x="234" s="1"/>
        <i x="224" s="1"/>
        <i x="420" s="1"/>
        <i x="476" s="1"/>
        <i x="484" s="1"/>
        <i x="261" s="1"/>
        <i x="252" s="1"/>
        <i x="185" s="1"/>
        <i x="412" s="1"/>
        <i x="134" s="1"/>
        <i x="408" s="1"/>
        <i x="424" s="1"/>
        <i x="43" s="1"/>
        <i x="128" s="1"/>
        <i x="84" s="1"/>
        <i x="178" s="1"/>
        <i x="75" s="1"/>
        <i x="326" s="1"/>
        <i x="124" s="1"/>
        <i x="125" s="1"/>
        <i x="66" s="1"/>
        <i x="403" s="1"/>
        <i x="129" s="1"/>
        <i x="293" s="1"/>
        <i x="316" s="1"/>
        <i x="81" s="1"/>
        <i x="289" s="1"/>
        <i x="22" s="1"/>
        <i x="74" s="1"/>
        <i x="235" s="1"/>
        <i x="237" s="1"/>
        <i x="14" s="1"/>
        <i x="325" s="1"/>
        <i x="114" s="1"/>
        <i x="266" s="1"/>
        <i x="110" s="1"/>
        <i x="77" s="1"/>
        <i x="402" s="1"/>
        <i x="473" s="1"/>
        <i x="284" s="1"/>
        <i x="295" s="1"/>
        <i x="0" s="1"/>
        <i x="157" s="1"/>
        <i x="65" s="1"/>
        <i x="248" s="1"/>
        <i x="429" s="1"/>
        <i x="488" s="1"/>
        <i x="105" s="1"/>
        <i x="23" s="1"/>
        <i x="404" s="1"/>
        <i x="495" s="1"/>
        <i x="76" s="1"/>
        <i x="40" s="1"/>
        <i x="79" s="1"/>
        <i x="344" s="1"/>
        <i x="169" s="1"/>
        <i x="468" s="1"/>
        <i x="104" s="1"/>
        <i x="377" s="1"/>
        <i x="456" s="1"/>
        <i x="359" s="1"/>
        <i x="95" s="1"/>
        <i x="20" s="1"/>
        <i x="419" s="1"/>
        <i x="437" s="1"/>
        <i x="457" s="1"/>
        <i x="24" s="1"/>
        <i x="162" s="1"/>
        <i x="345" s="1"/>
        <i x="336" s="1"/>
        <i x="483" s="1"/>
        <i x="388" s="1"/>
        <i x="112" s="1"/>
        <i x="314" s="1"/>
        <i x="285" s="1"/>
        <i x="180" s="1"/>
        <i x="363" s="1"/>
        <i x="113" s="1"/>
        <i x="227" s="1"/>
        <i x="399" s="1"/>
        <i x="196" s="1"/>
        <i x="80" s="1"/>
        <i x="109" s="1"/>
        <i x="352" s="1"/>
        <i x="101" s="1"/>
        <i x="92" s="1"/>
        <i x="9" s="1"/>
        <i x="432" s="1"/>
        <i x="45" s="1"/>
        <i x="71" s="1"/>
        <i x="427" s="1"/>
        <i x="361" s="1"/>
        <i x="463" s="1"/>
        <i x="12" s="1"/>
        <i x="192" s="1"/>
        <i x="328" s="1"/>
        <i x="299" s="1"/>
        <i x="452" s="1"/>
        <i x="304" s="1"/>
        <i x="374" s="1"/>
        <i x="130" s="1"/>
        <i x="213" s="1"/>
        <i x="142" s="1"/>
        <i x="406" s="1"/>
        <i x="401" s="1"/>
        <i x="286" s="1"/>
        <i x="482" s="1"/>
        <i x="493" s="1"/>
        <i x="438" s="1"/>
        <i x="123" s="1"/>
        <i x="267" s="1"/>
        <i x="339" s="1"/>
        <i x="93" s="1"/>
        <i x="1" s="1"/>
        <i x="315" s="1"/>
        <i x="52" s="1"/>
        <i x="220" s="1"/>
        <i x="21" s="1"/>
        <i x="211" s="1"/>
        <i x="222" s="1"/>
        <i x="136" s="1"/>
        <i x="228" s="1"/>
        <i x="386" s="1"/>
        <i x="51" s="1"/>
        <i x="230" s="1"/>
        <i x="165" s="1"/>
        <i x="54" s="1"/>
        <i x="433" s="1"/>
        <i x="209" s="1"/>
        <i x="97" s="1"/>
        <i x="175" s="1"/>
        <i x="46" s="1"/>
        <i x="343" s="1"/>
        <i x="59" s="1"/>
        <i x="413" s="1"/>
        <i x="347" s="1"/>
        <i x="229" s="1"/>
        <i x="149" s="1"/>
        <i x="156" s="1"/>
        <i x="334" s="1"/>
        <i x="249" s="1"/>
        <i x="173" s="1"/>
        <i x="232" s="1"/>
        <i x="392" s="1"/>
        <i x="313" s="1"/>
        <i x="67" s="1"/>
        <i x="263" s="1"/>
        <i x="62" s="1"/>
        <i x="193" s="1"/>
        <i x="416" s="1"/>
        <i x="370" s="1"/>
        <i x="448" s="1"/>
        <i x="29" s="1"/>
        <i x="306" s="1"/>
        <i x="351" s="1"/>
        <i x="323" s="1"/>
        <i x="201" s="1"/>
        <i x="243" s="1"/>
        <i x="486" s="1"/>
        <i x="307" s="1"/>
        <i x="55" s="1"/>
        <i x="387" s="1"/>
        <i x="324" s="1"/>
        <i x="61" s="1"/>
        <i x="182" s="1"/>
        <i x="366" s="1"/>
        <i x="64" s="1"/>
        <i x="176" s="1"/>
        <i x="474" s="1"/>
        <i x="146" s="1"/>
        <i x="378" s="1"/>
        <i x="42" s="1"/>
        <i x="120" s="1"/>
        <i x="358" s="1"/>
        <i x="349" s="1"/>
        <i x="279" s="1"/>
        <i x="381" s="1"/>
        <i x="147" s="1"/>
        <i x="496" s="1"/>
        <i x="102" s="1"/>
        <i x="364" s="1"/>
        <i x="2" s="1"/>
        <i x="186" s="1"/>
        <i x="277" s="1"/>
        <i x="16" s="1"/>
        <i x="461" s="1"/>
        <i x="256" s="1"/>
        <i x="371" s="1"/>
        <i x="265" s="1"/>
        <i x="181" s="1"/>
        <i x="205" s="1"/>
        <i x="331" s="1"/>
        <i x="450" s="1"/>
        <i x="423" s="1"/>
        <i x="111" s="1"/>
        <i x="121" s="1"/>
        <i x="411" s="1"/>
        <i x="251" s="1"/>
        <i x="4" s="1"/>
        <i x="257" s="1"/>
        <i x="335" s="1"/>
        <i x="127" s="1"/>
        <i x="462" s="1"/>
        <i x="183" s="1"/>
        <i x="312" s="1"/>
        <i x="491" s="1"/>
        <i x="418" s="1"/>
        <i x="338" s="1"/>
        <i x="340" s="1"/>
        <i x="464" s="1"/>
        <i x="242" s="1"/>
        <i x="190" s="1"/>
        <i x="155" s="1"/>
        <i x="122" s="1"/>
        <i x="7" s="1"/>
        <i x="439" s="1"/>
        <i x="298" s="1"/>
        <i x="53" s="1"/>
        <i x="329" s="1"/>
        <i x="72" s="1"/>
        <i x="241" s="1"/>
        <i x="191" s="1"/>
        <i x="171" s="1"/>
        <i x="291" s="1"/>
        <i x="223" s="1"/>
        <i x="354" s="1"/>
        <i x="117" s="1"/>
        <i x="143" s="1"/>
        <i x="70" s="1"/>
        <i x="458" s="1"/>
        <i x="271" s="1"/>
        <i x="87" s="1"/>
        <i x="373" s="1"/>
        <i x="202" s="1"/>
        <i x="454" s="1"/>
        <i x="330" s="1"/>
        <i x="444" s="1"/>
        <i x="96" s="1"/>
        <i x="270" s="1"/>
        <i x="480" s="1"/>
        <i x="255" s="1"/>
        <i x="158" s="1"/>
        <i x="11" s="1"/>
        <i x="131" s="1"/>
        <i x="375" s="1"/>
        <i x="233" s="1"/>
        <i x="49" s="1"/>
        <i x="434" s="1"/>
        <i x="467" s="1"/>
        <i x="103" s="1"/>
        <i x="31" s="1"/>
        <i x="174" s="1"/>
        <i x="246" s="1"/>
        <i x="199" s="1"/>
        <i x="258" s="1"/>
        <i x="341" s="1"/>
        <i x="78" s="1"/>
        <i x="204" s="1"/>
        <i x="410" s="1"/>
        <i x="13" s="1"/>
        <i x="152" s="1"/>
        <i x="48" s="1"/>
        <i x="318" s="1"/>
        <i x="108" s="1"/>
        <i x="141" s="1"/>
        <i x="57" s="1"/>
        <i x="276" s="1"/>
        <i x="380" s="1"/>
        <i x="225" s="1"/>
        <i x="63" s="1"/>
        <i x="259" s="1"/>
        <i x="342" s="1"/>
        <i x="254" s="1"/>
        <i x="393" s="1"/>
        <i x="98" s="1"/>
        <i x="231" s="1"/>
        <i x="210" s="1"/>
        <i x="422" s="1"/>
        <i x="305" s="1"/>
        <i x="407" s="1"/>
        <i x="320" s="1"/>
        <i x="264" s="1"/>
        <i x="3" s="1"/>
        <i x="498" s="1"/>
        <i x="405" s="1"/>
        <i x="303" s="1"/>
        <i x="85" s="1"/>
        <i x="150" s="1"/>
        <i x="272" s="1"/>
        <i x="478" s="1"/>
        <i x="89" s="1"/>
        <i x="367" s="1"/>
        <i x="459" s="1"/>
        <i x="499" s="1"/>
        <i x="337" s="1"/>
        <i x="238" s="1"/>
        <i x="250" s="1"/>
        <i x="73" s="1"/>
        <i x="333" s="1"/>
        <i x="198" s="1"/>
        <i x="431" s="1"/>
        <i x="239" s="1"/>
        <i x="247" s="1"/>
        <i x="107" s="1"/>
        <i x="309" s="1"/>
        <i x="179" s="1"/>
        <i x="369" s="1"/>
        <i x="106" s="1"/>
        <i x="394" s="1"/>
        <i x="34" s="1"/>
        <i x="194" s="1"/>
        <i x="362" s="1"/>
        <i x="355" s="1"/>
        <i x="177" s="1"/>
        <i x="8" s="1"/>
        <i x="384" s="1"/>
        <i x="440" s="1"/>
        <i x="206" s="1"/>
        <i x="219" s="1"/>
        <i x="172" s="1"/>
        <i x="50" s="1"/>
        <i x="389" s="1"/>
        <i x="195" s="1"/>
        <i x="348" s="1"/>
        <i x="311" s="1"/>
        <i x="58" s="1"/>
        <i x="167" s="1"/>
        <i x="18" s="1"/>
        <i x="100" s="1"/>
        <i x="116" s="1"/>
        <i x="390" s="1"/>
        <i x="10" s="1"/>
        <i x="140" s="1"/>
        <i x="207" s="1"/>
        <i x="383" s="1"/>
        <i x="115" s="1"/>
        <i x="69" s="1"/>
        <i x="30" s="1"/>
        <i x="382" s="1"/>
        <i x="27" s="1"/>
        <i x="86" s="1"/>
        <i x="26" s="1"/>
        <i x="292" s="1"/>
        <i x="414" s="1"/>
        <i x="151" s="1"/>
        <i x="455" s="1"/>
        <i x="214" s="1"/>
        <i x="310" s="1"/>
        <i x="226" s="1"/>
        <i x="281" s="1"/>
        <i x="391" s="1"/>
        <i x="99" s="1"/>
        <i x="164" s="1"/>
        <i x="353" s="1"/>
        <i x="350" s="1"/>
        <i x="294" s="1"/>
        <i x="357" s="1"/>
        <i x="212" s="1"/>
        <i x="282" s="1"/>
        <i x="135" s="1"/>
        <i x="5" s="1"/>
        <i x="470" s="1"/>
        <i x="445" s="1"/>
        <i x="203" s="1"/>
        <i x="154" s="1"/>
        <i x="144" s="1"/>
        <i x="283" s="1"/>
        <i x="83" s="1"/>
        <i x="188" s="1"/>
        <i x="356" s="1"/>
        <i x="137" s="1"/>
        <i x="221" s="1"/>
        <i x="253" s="1"/>
        <i x="421" s="1"/>
        <i x="118" s="1"/>
        <i x="28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Amount1" xr10:uid="{396467F2-4AB0-488C-9355-5195EB0592B1}" sourceName="Total Amount">
  <pivotTables>
    <pivotTable tabId="7" name="PivotTable7"/>
  </pivotTables>
  <data>
    <tabular pivotCacheId="25413695">
      <items count="500">
        <i x="244" s="1"/>
        <i x="274" s="1"/>
        <i x="475" s="1"/>
        <i x="395" s="1"/>
        <i x="37" s="1"/>
        <i x="184" s="1"/>
        <i x="346" s="1"/>
        <i x="466" s="1"/>
        <i x="280" s="1"/>
        <i x="33" s="1"/>
        <i x="132" s="1"/>
        <i x="170" s="1"/>
        <i x="385" s="1"/>
        <i x="119" s="1"/>
        <i x="145" s="1"/>
        <i x="236" s="1"/>
        <i x="297" s="1"/>
        <i x="477" s="1"/>
        <i x="453" s="1"/>
        <i x="368" s="1"/>
        <i x="166" s="1"/>
        <i x="300" s="1"/>
        <i x="269" s="1"/>
        <i x="446" s="1"/>
        <i x="426" s="1"/>
        <i x="161" s="1"/>
        <i x="301" s="1"/>
        <i x="372" s="1"/>
        <i x="287" s="1"/>
        <i x="38" s="1"/>
        <i x="436" s="1"/>
        <i x="94" s="1"/>
        <i x="442" s="1"/>
        <i x="200" s="1"/>
        <i x="492" s="1"/>
        <i x="168" s="1"/>
        <i x="443" s="1"/>
        <i x="39" s="1"/>
        <i x="460" s="1"/>
        <i x="451" s="1"/>
        <i x="159" s="1"/>
        <i x="41" s="1"/>
        <i x="215" s="1"/>
        <i x="56" s="1"/>
        <i x="308" s="1"/>
        <i x="139" s="1"/>
        <i x="268" s="1"/>
        <i x="148" s="1"/>
        <i x="217" s="1"/>
        <i x="153" s="1"/>
        <i x="160" s="1"/>
        <i x="290" s="1"/>
        <i x="409" s="1"/>
        <i x="163" s="1"/>
        <i x="187" s="1"/>
        <i x="189" s="1"/>
        <i x="465" s="1"/>
        <i x="240" s="1"/>
        <i x="471" s="1"/>
        <i x="327" s="1"/>
        <i x="332" s="1"/>
        <i x="317" s="1"/>
        <i x="428" s="1"/>
        <i x="447" s="1"/>
        <i x="430" s="1"/>
        <i x="400" s="1"/>
        <i x="91" s="1"/>
        <i x="82" s="1"/>
        <i x="35" s="1"/>
        <i x="472" s="1"/>
        <i x="379" s="1"/>
        <i x="60" s="1"/>
        <i x="398" s="1"/>
        <i x="319" s="1"/>
        <i x="245" s="1"/>
        <i x="479" s="1"/>
        <i x="44" s="1"/>
        <i x="133" s="1"/>
        <i x="15" s="1"/>
        <i x="32" s="1"/>
        <i x="36" s="1"/>
        <i x="360" s="1"/>
        <i x="68" s="1"/>
        <i x="6" s="1"/>
        <i x="415" s="1"/>
        <i x="126" s="1"/>
        <i x="262" s="1"/>
        <i x="19" s="1"/>
        <i x="365" s="1"/>
        <i x="47" s="1"/>
        <i x="275" s="1"/>
        <i x="490" s="1"/>
        <i x="302" s="1"/>
        <i x="469" s="1"/>
        <i x="425" s="1"/>
        <i x="17" s="1"/>
        <i x="435" s="1"/>
        <i x="494" s="1"/>
        <i x="28" s="1"/>
        <i x="449" s="1"/>
        <i x="90" s="1"/>
        <i x="278" s="1"/>
        <i x="260" s="1"/>
        <i x="396" s="1"/>
        <i x="487" s="1"/>
        <i x="216" s="1"/>
        <i x="273" s="1"/>
        <i x="376" s="1"/>
        <i x="197" s="1"/>
        <i x="296" s="1"/>
        <i x="489" s="1"/>
        <i x="25" s="1"/>
        <i x="138" s="1"/>
        <i x="321" s="1"/>
        <i x="481" s="1"/>
        <i x="441" s="1"/>
        <i x="417" s="1"/>
        <i x="208" s="1"/>
        <i x="397" s="1"/>
        <i x="218" s="1"/>
        <i x="322" s="1"/>
        <i x="88" s="1"/>
        <i x="497" s="1"/>
        <i x="485" s="1"/>
        <i x="234" s="1"/>
        <i x="224" s="1"/>
        <i x="420" s="1"/>
        <i x="476" s="1"/>
        <i x="484" s="1"/>
        <i x="261" s="1"/>
        <i x="252" s="1"/>
        <i x="185" s="1"/>
        <i x="412" s="1"/>
        <i x="134" s="1"/>
        <i x="408" s="1"/>
        <i x="424" s="1"/>
        <i x="43" s="1"/>
        <i x="128" s="1"/>
        <i x="84" s="1"/>
        <i x="178" s="1"/>
        <i x="75" s="1"/>
        <i x="326" s="1"/>
        <i x="124" s="1"/>
        <i x="125" s="1"/>
        <i x="66" s="1"/>
        <i x="403" s="1"/>
        <i x="129" s="1"/>
        <i x="293" s="1"/>
        <i x="316" s="1"/>
        <i x="81" s="1"/>
        <i x="289" s="1"/>
        <i x="22" s="1"/>
        <i x="74" s="1"/>
        <i x="235" s="1"/>
        <i x="237" s="1"/>
        <i x="14" s="1"/>
        <i x="325" s="1"/>
        <i x="114" s="1"/>
        <i x="266" s="1"/>
        <i x="110" s="1"/>
        <i x="77" s="1"/>
        <i x="402" s="1"/>
        <i x="473" s="1"/>
        <i x="284" s="1"/>
        <i x="295" s="1"/>
        <i x="0" s="1"/>
        <i x="157" s="1"/>
        <i x="65" s="1"/>
        <i x="248" s="1"/>
        <i x="429" s="1"/>
        <i x="488" s="1"/>
        <i x="105" s="1"/>
        <i x="23" s="1"/>
        <i x="404" s="1"/>
        <i x="495" s="1"/>
        <i x="76" s="1"/>
        <i x="40" s="1"/>
        <i x="79" s="1"/>
        <i x="344" s="1"/>
        <i x="169" s="1"/>
        <i x="468" s="1"/>
        <i x="104" s="1"/>
        <i x="377" s="1"/>
        <i x="456" s="1"/>
        <i x="359" s="1"/>
        <i x="95" s="1"/>
        <i x="20" s="1"/>
        <i x="419" s="1"/>
        <i x="437" s="1"/>
        <i x="457" s="1"/>
        <i x="24" s="1"/>
        <i x="162" s="1"/>
        <i x="345" s="1"/>
        <i x="336" s="1"/>
        <i x="483" s="1"/>
        <i x="388" s="1"/>
        <i x="112" s="1"/>
        <i x="314" s="1"/>
        <i x="285" s="1"/>
        <i x="180" s="1"/>
        <i x="363" s="1"/>
        <i x="113" s="1"/>
        <i x="227" s="1"/>
        <i x="399" s="1"/>
        <i x="196" s="1"/>
        <i x="80" s="1"/>
        <i x="109" s="1"/>
        <i x="352" s="1"/>
        <i x="101" s="1"/>
        <i x="92" s="1"/>
        <i x="9" s="1"/>
        <i x="432" s="1"/>
        <i x="45" s="1"/>
        <i x="71" s="1"/>
        <i x="427" s="1"/>
        <i x="361" s="1"/>
        <i x="463" s="1"/>
        <i x="12" s="1"/>
        <i x="192" s="1"/>
        <i x="328" s="1"/>
        <i x="299" s="1"/>
        <i x="452" s="1"/>
        <i x="304" s="1"/>
        <i x="374" s="1"/>
        <i x="130" s="1"/>
        <i x="213" s="1"/>
        <i x="142" s="1"/>
        <i x="406" s="1"/>
        <i x="401" s="1"/>
        <i x="286" s="1"/>
        <i x="482" s="1"/>
        <i x="493" s="1"/>
        <i x="438" s="1"/>
        <i x="123" s="1"/>
        <i x="267" s="1"/>
        <i x="339" s="1"/>
        <i x="93" s="1"/>
        <i x="1" s="1"/>
        <i x="315" s="1"/>
        <i x="52" s="1"/>
        <i x="220" s="1"/>
        <i x="21" s="1"/>
        <i x="211" s="1"/>
        <i x="222" s="1"/>
        <i x="136" s="1"/>
        <i x="228" s="1"/>
        <i x="386" s="1"/>
        <i x="51" s="1"/>
        <i x="230" s="1"/>
        <i x="165" s="1"/>
        <i x="54" s="1"/>
        <i x="433" s="1"/>
        <i x="209" s="1"/>
        <i x="97" s="1"/>
        <i x="175" s="1"/>
        <i x="46" s="1"/>
        <i x="343" s="1"/>
        <i x="59" s="1"/>
        <i x="413" s="1"/>
        <i x="347" s="1"/>
        <i x="229" s="1"/>
        <i x="149" s="1"/>
        <i x="156" s="1"/>
        <i x="334" s="1"/>
        <i x="249" s="1"/>
        <i x="173" s="1"/>
        <i x="232" s="1"/>
        <i x="392" s="1"/>
        <i x="313" s="1"/>
        <i x="67" s="1"/>
        <i x="263" s="1"/>
        <i x="62" s="1"/>
        <i x="193" s="1"/>
        <i x="416" s="1"/>
        <i x="370" s="1"/>
        <i x="448" s="1"/>
        <i x="29" s="1"/>
        <i x="306" s="1"/>
        <i x="351" s="1"/>
        <i x="323" s="1"/>
        <i x="201" s="1"/>
        <i x="243" s="1"/>
        <i x="486" s="1"/>
        <i x="307" s="1"/>
        <i x="55" s="1"/>
        <i x="387" s="1"/>
        <i x="324" s="1"/>
        <i x="61" s="1"/>
        <i x="182" s="1"/>
        <i x="366" s="1"/>
        <i x="64" s="1"/>
        <i x="176" s="1"/>
        <i x="474" s="1"/>
        <i x="146" s="1"/>
        <i x="378" s="1"/>
        <i x="42" s="1"/>
        <i x="120" s="1"/>
        <i x="358" s="1"/>
        <i x="349" s="1"/>
        <i x="279" s="1"/>
        <i x="381" s="1"/>
        <i x="147" s="1"/>
        <i x="496" s="1"/>
        <i x="102" s="1"/>
        <i x="364" s="1"/>
        <i x="2" s="1"/>
        <i x="186" s="1"/>
        <i x="277" s="1"/>
        <i x="16" s="1"/>
        <i x="461" s="1"/>
        <i x="256" s="1"/>
        <i x="371" s="1"/>
        <i x="265" s="1"/>
        <i x="181" s="1"/>
        <i x="205" s="1"/>
        <i x="331" s="1"/>
        <i x="450" s="1"/>
        <i x="423" s="1"/>
        <i x="111" s="1"/>
        <i x="121" s="1"/>
        <i x="411" s="1"/>
        <i x="251" s="1"/>
        <i x="4" s="1"/>
        <i x="257" s="1"/>
        <i x="335" s="1"/>
        <i x="127" s="1"/>
        <i x="462" s="1"/>
        <i x="183" s="1"/>
        <i x="312" s="1"/>
        <i x="491" s="1"/>
        <i x="418" s="1"/>
        <i x="338" s="1"/>
        <i x="340" s="1"/>
        <i x="464" s="1"/>
        <i x="242" s="1"/>
        <i x="190" s="1"/>
        <i x="155" s="1"/>
        <i x="122" s="1"/>
        <i x="7" s="1"/>
        <i x="439" s="1"/>
        <i x="298" s="1"/>
        <i x="53" s="1"/>
        <i x="329" s="1"/>
        <i x="72" s="1"/>
        <i x="241" s="1"/>
        <i x="191" s="1"/>
        <i x="171" s="1"/>
        <i x="291" s="1"/>
        <i x="223" s="1"/>
        <i x="354" s="1"/>
        <i x="117" s="1"/>
        <i x="143" s="1"/>
        <i x="70" s="1"/>
        <i x="458" s="1"/>
        <i x="271" s="1"/>
        <i x="87" s="1"/>
        <i x="373" s="1"/>
        <i x="202" s="1"/>
        <i x="454" s="1"/>
        <i x="330" s="1"/>
        <i x="444" s="1"/>
        <i x="96" s="1"/>
        <i x="270" s="1"/>
        <i x="480" s="1"/>
        <i x="255" s="1"/>
        <i x="158" s="1"/>
        <i x="11" s="1"/>
        <i x="131" s="1"/>
        <i x="375" s="1"/>
        <i x="233" s="1"/>
        <i x="49" s="1"/>
        <i x="434" s="1"/>
        <i x="467" s="1"/>
        <i x="103" s="1"/>
        <i x="31" s="1"/>
        <i x="174" s="1"/>
        <i x="246" s="1"/>
        <i x="199" s="1"/>
        <i x="258" s="1"/>
        <i x="341" s="1"/>
        <i x="78" s="1"/>
        <i x="204" s="1"/>
        <i x="410" s="1"/>
        <i x="13" s="1"/>
        <i x="152" s="1"/>
        <i x="48" s="1"/>
        <i x="318" s="1"/>
        <i x="108" s="1"/>
        <i x="141" s="1"/>
        <i x="57" s="1"/>
        <i x="276" s="1"/>
        <i x="380" s="1"/>
        <i x="225" s="1"/>
        <i x="63" s="1"/>
        <i x="259" s="1"/>
        <i x="342" s="1"/>
        <i x="254" s="1"/>
        <i x="393" s="1"/>
        <i x="98" s="1"/>
        <i x="231" s="1"/>
        <i x="210" s="1"/>
        <i x="422" s="1"/>
        <i x="305" s="1"/>
        <i x="407" s="1"/>
        <i x="320" s="1"/>
        <i x="264" s="1"/>
        <i x="3" s="1"/>
        <i x="498" s="1"/>
        <i x="405" s="1"/>
        <i x="303" s="1"/>
        <i x="85" s="1"/>
        <i x="150" s="1"/>
        <i x="272" s="1"/>
        <i x="478" s="1"/>
        <i x="89" s="1"/>
        <i x="367" s="1"/>
        <i x="459" s="1"/>
        <i x="499" s="1"/>
        <i x="337" s="1"/>
        <i x="238" s="1"/>
        <i x="250" s="1"/>
        <i x="73" s="1"/>
        <i x="333" s="1"/>
        <i x="198" s="1"/>
        <i x="431" s="1"/>
        <i x="239" s="1"/>
        <i x="247" s="1"/>
        <i x="107" s="1"/>
        <i x="309" s="1"/>
        <i x="179" s="1"/>
        <i x="369" s="1"/>
        <i x="106" s="1"/>
        <i x="394" s="1"/>
        <i x="34" s="1"/>
        <i x="194" s="1"/>
        <i x="362" s="1"/>
        <i x="355" s="1"/>
        <i x="177" s="1"/>
        <i x="8" s="1"/>
        <i x="384" s="1"/>
        <i x="440" s="1"/>
        <i x="206" s="1"/>
        <i x="219" s="1"/>
        <i x="172" s="1"/>
        <i x="50" s="1"/>
        <i x="389" s="1"/>
        <i x="195" s="1"/>
        <i x="348" s="1"/>
        <i x="311" s="1"/>
        <i x="58" s="1"/>
        <i x="167" s="1"/>
        <i x="18" s="1"/>
        <i x="100" s="1"/>
        <i x="116" s="1"/>
        <i x="390" s="1"/>
        <i x="10" s="1"/>
        <i x="140" s="1"/>
        <i x="207" s="1"/>
        <i x="383" s="1"/>
        <i x="115" s="1"/>
        <i x="69" s="1"/>
        <i x="30" s="1"/>
        <i x="382" s="1"/>
        <i x="27" s="1"/>
        <i x="86" s="1"/>
        <i x="26" s="1"/>
        <i x="292" s="1"/>
        <i x="414" s="1"/>
        <i x="151" s="1"/>
        <i x="455" s="1"/>
        <i x="214" s="1"/>
        <i x="310" s="1"/>
        <i x="226" s="1"/>
        <i x="281" s="1"/>
        <i x="391" s="1"/>
        <i x="99" s="1"/>
        <i x="164" s="1"/>
        <i x="353" s="1"/>
        <i x="350" s="1"/>
        <i x="294" s="1"/>
        <i x="357" s="1"/>
        <i x="212" s="1"/>
        <i x="282" s="1"/>
        <i x="135" s="1"/>
        <i x="5" s="1"/>
        <i x="470" s="1"/>
        <i x="445" s="1"/>
        <i x="203" s="1"/>
        <i x="154" s="1"/>
        <i x="144" s="1"/>
        <i x="283" s="1"/>
        <i x="83" s="1"/>
        <i x="188" s="1"/>
        <i x="356" s="1"/>
        <i x="137" s="1"/>
        <i x="221" s="1"/>
        <i x="253" s="1"/>
        <i x="421" s="1"/>
        <i x="118" s="1"/>
        <i x="288"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0AF66FCA-5762-4098-B00C-A43DC6C3A68A}" sourceName="Months (Order Date)">
  <pivotTables>
    <pivotTable tabId="7" name="PivotTable7"/>
  </pivotTables>
  <data>
    <tabular pivotCacheId="25413695">
      <items count="14">
        <i x="1" s="1"/>
        <i x="2" s="1"/>
        <i x="3" s="1"/>
        <i x="4" s="1"/>
        <i x="5" s="1"/>
        <i x="6" s="1"/>
        <i x="7" s="1" nd="1"/>
        <i x="8" s="1" nd="1"/>
        <i x="9" s="1" nd="1"/>
        <i x="10" s="1" nd="1"/>
        <i x="11" s="1" nd="1"/>
        <i x="12" s="1" nd="1"/>
        <i x="0" s="1" nd="1"/>
        <i x="13"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Amount2" xr10:uid="{EFB77A93-8F32-4E6F-94C2-C8CB5C213832}" sourceName="Total Amount">
  <pivotTables>
    <pivotTable tabId="8" name="PivotTable8"/>
  </pivotTables>
  <data>
    <tabular pivotCacheId="25413695">
      <items count="500">
        <i x="244" s="1"/>
        <i x="274" s="1"/>
        <i x="475" s="1"/>
        <i x="395" s="1"/>
        <i x="37" s="1"/>
        <i x="184" s="1"/>
        <i x="346" s="1"/>
        <i x="466" s="1"/>
        <i x="280" s="1"/>
        <i x="33" s="1"/>
        <i x="132" s="1"/>
        <i x="170" s="1"/>
        <i x="385" s="1"/>
        <i x="119" s="1"/>
        <i x="145" s="1"/>
        <i x="236" s="1"/>
        <i x="297" s="1"/>
        <i x="477" s="1"/>
        <i x="453" s="1"/>
        <i x="368" s="1"/>
        <i x="166" s="1"/>
        <i x="300" s="1"/>
        <i x="269" s="1"/>
        <i x="446" s="1"/>
        <i x="426" s="1"/>
        <i x="161" s="1"/>
        <i x="301" s="1"/>
        <i x="372" s="1"/>
        <i x="287" s="1"/>
        <i x="38" s="1"/>
        <i x="436" s="1"/>
        <i x="94" s="1"/>
        <i x="442" s="1"/>
        <i x="200" s="1"/>
        <i x="492" s="1"/>
        <i x="168" s="1"/>
        <i x="443" s="1"/>
        <i x="39" s="1"/>
        <i x="460" s="1"/>
        <i x="451" s="1"/>
        <i x="159" s="1"/>
        <i x="41" s="1"/>
        <i x="215" s="1"/>
        <i x="56" s="1"/>
        <i x="308" s="1"/>
        <i x="139" s="1"/>
        <i x="268" s="1"/>
        <i x="148" s="1"/>
        <i x="217" s="1"/>
        <i x="153" s="1"/>
        <i x="160" s="1"/>
        <i x="290" s="1"/>
        <i x="409" s="1"/>
        <i x="163" s="1"/>
        <i x="187" s="1"/>
        <i x="189" s="1"/>
        <i x="465" s="1"/>
        <i x="240" s="1"/>
        <i x="471" s="1"/>
        <i x="327" s="1"/>
        <i x="332" s="1"/>
        <i x="317" s="1"/>
        <i x="428" s="1"/>
        <i x="447" s="1"/>
        <i x="430" s="1"/>
        <i x="400" s="1"/>
        <i x="91" s="1"/>
        <i x="82" s="1"/>
        <i x="35" s="1"/>
        <i x="472" s="1"/>
        <i x="379" s="1"/>
        <i x="60" s="1"/>
        <i x="398" s="1"/>
        <i x="319" s="1"/>
        <i x="245" s="1"/>
        <i x="479" s="1"/>
        <i x="44" s="1"/>
        <i x="133" s="1"/>
        <i x="15" s="1"/>
        <i x="32" s="1"/>
        <i x="36" s="1"/>
        <i x="360" s="1"/>
        <i x="68" s="1"/>
        <i x="6" s="1"/>
        <i x="415" s="1"/>
        <i x="126" s="1"/>
        <i x="262" s="1"/>
        <i x="19" s="1"/>
        <i x="365" s="1"/>
        <i x="47" s="1"/>
        <i x="275" s="1"/>
        <i x="490" s="1"/>
        <i x="302" s="1"/>
        <i x="469" s="1"/>
        <i x="425" s="1"/>
        <i x="17" s="1"/>
        <i x="435" s="1"/>
        <i x="494" s="1"/>
        <i x="28" s="1"/>
        <i x="449" s="1"/>
        <i x="90" s="1"/>
        <i x="278" s="1"/>
        <i x="260" s="1"/>
        <i x="396" s="1"/>
        <i x="487" s="1"/>
        <i x="216" s="1"/>
        <i x="273" s="1"/>
        <i x="376" s="1"/>
        <i x="197" s="1"/>
        <i x="296" s="1"/>
        <i x="489" s="1"/>
        <i x="25" s="1"/>
        <i x="138" s="1"/>
        <i x="321" s="1"/>
        <i x="481" s="1"/>
        <i x="441" s="1"/>
        <i x="417" s="1"/>
        <i x="208" s="1"/>
        <i x="397" s="1"/>
        <i x="218" s="1"/>
        <i x="322" s="1"/>
        <i x="88" s="1"/>
        <i x="497" s="1"/>
        <i x="485" s="1"/>
        <i x="234" s="1"/>
        <i x="224" s="1"/>
        <i x="420" s="1"/>
        <i x="476" s="1"/>
        <i x="484" s="1"/>
        <i x="261" s="1"/>
        <i x="252" s="1"/>
        <i x="185" s="1"/>
        <i x="412" s="1"/>
        <i x="134" s="1"/>
        <i x="408" s="1"/>
        <i x="424" s="1"/>
        <i x="43" s="1"/>
        <i x="128" s="1"/>
        <i x="84" s="1"/>
        <i x="178" s="1"/>
        <i x="75" s="1"/>
        <i x="326" s="1"/>
        <i x="124" s="1"/>
        <i x="125" s="1"/>
        <i x="66" s="1"/>
        <i x="403" s="1"/>
        <i x="129" s="1"/>
        <i x="293" s="1"/>
        <i x="316" s="1"/>
        <i x="81" s="1"/>
        <i x="289" s="1"/>
        <i x="22" s="1"/>
        <i x="74" s="1"/>
        <i x="235" s="1"/>
        <i x="237" s="1"/>
        <i x="14" s="1"/>
        <i x="325" s="1"/>
        <i x="114" s="1"/>
        <i x="266" s="1"/>
        <i x="110" s="1"/>
        <i x="77" s="1"/>
        <i x="402" s="1"/>
        <i x="473" s="1"/>
        <i x="284" s="1"/>
        <i x="295" s="1"/>
        <i x="0" s="1"/>
        <i x="157" s="1"/>
        <i x="65" s="1"/>
        <i x="248" s="1"/>
        <i x="429" s="1"/>
        <i x="488" s="1"/>
        <i x="105" s="1"/>
        <i x="23" s="1"/>
        <i x="404" s="1"/>
        <i x="495" s="1"/>
        <i x="76" s="1"/>
        <i x="40" s="1"/>
        <i x="79" s="1"/>
        <i x="344" s="1"/>
        <i x="169" s="1"/>
        <i x="468" s="1"/>
        <i x="104" s="1"/>
        <i x="377" s="1"/>
        <i x="456" s="1"/>
        <i x="359" s="1"/>
        <i x="95" s="1"/>
        <i x="20" s="1"/>
        <i x="419" s="1"/>
        <i x="437" s="1"/>
        <i x="457" s="1"/>
        <i x="24" s="1"/>
        <i x="162" s="1"/>
        <i x="345" s="1"/>
        <i x="336" s="1"/>
        <i x="483" s="1"/>
        <i x="388" s="1"/>
        <i x="112" s="1"/>
        <i x="314" s="1"/>
        <i x="285" s="1"/>
        <i x="180" s="1"/>
        <i x="363" s="1"/>
        <i x="113" s="1"/>
        <i x="227" s="1"/>
        <i x="399" s="1"/>
        <i x="196" s="1"/>
        <i x="80" s="1"/>
        <i x="109" s="1"/>
        <i x="352" s="1"/>
        <i x="101" s="1"/>
        <i x="92" s="1"/>
        <i x="9" s="1"/>
        <i x="432" s="1"/>
        <i x="45" s="1"/>
        <i x="71" s="1"/>
        <i x="427" s="1"/>
        <i x="361" s="1"/>
        <i x="463" s="1"/>
        <i x="12" s="1"/>
        <i x="192" s="1"/>
        <i x="328" s="1"/>
        <i x="299" s="1"/>
        <i x="452" s="1"/>
        <i x="304" s="1"/>
        <i x="374" s="1"/>
        <i x="130" s="1"/>
        <i x="213" s="1"/>
        <i x="142" s="1"/>
        <i x="406" s="1"/>
        <i x="401" s="1"/>
        <i x="286" s="1"/>
        <i x="482" s="1"/>
        <i x="493" s="1"/>
        <i x="438" s="1"/>
        <i x="123" s="1"/>
        <i x="267" s="1"/>
        <i x="339" s="1"/>
        <i x="93" s="1"/>
        <i x="1" s="1"/>
        <i x="315" s="1"/>
        <i x="52" s="1"/>
        <i x="220" s="1"/>
        <i x="21" s="1"/>
        <i x="211" s="1"/>
        <i x="222" s="1"/>
        <i x="136" s="1"/>
        <i x="228" s="1"/>
        <i x="386" s="1"/>
        <i x="51" s="1"/>
        <i x="230" s="1"/>
        <i x="165" s="1"/>
        <i x="54" s="1"/>
        <i x="433" s="1"/>
        <i x="209" s="1"/>
        <i x="97" s="1"/>
        <i x="175" s="1"/>
        <i x="46" s="1"/>
        <i x="343" s="1"/>
        <i x="59" s="1"/>
        <i x="413" s="1"/>
        <i x="347" s="1"/>
        <i x="229" s="1"/>
        <i x="149" s="1"/>
        <i x="156" s="1"/>
        <i x="334" s="1"/>
        <i x="249" s="1"/>
        <i x="173" s="1"/>
        <i x="232" s="1"/>
        <i x="392" s="1"/>
        <i x="313" s="1"/>
        <i x="67" s="1"/>
        <i x="263" s="1"/>
        <i x="62" s="1"/>
        <i x="193" s="1"/>
        <i x="416" s="1"/>
        <i x="370" s="1"/>
        <i x="448" s="1"/>
        <i x="29" s="1"/>
        <i x="306" s="1"/>
        <i x="351" s="1"/>
        <i x="323" s="1"/>
        <i x="201" s="1"/>
        <i x="243" s="1"/>
        <i x="486" s="1"/>
        <i x="307" s="1"/>
        <i x="55" s="1"/>
        <i x="387" s="1"/>
        <i x="324" s="1"/>
        <i x="61" s="1"/>
        <i x="182" s="1"/>
        <i x="366" s="1"/>
        <i x="64" s="1"/>
        <i x="176" s="1"/>
        <i x="474" s="1"/>
        <i x="146" s="1"/>
        <i x="378" s="1"/>
        <i x="42" s="1"/>
        <i x="120" s="1"/>
        <i x="358" s="1"/>
        <i x="349" s="1"/>
        <i x="279" s="1"/>
        <i x="381" s="1"/>
        <i x="147" s="1"/>
        <i x="496" s="1"/>
        <i x="102" s="1"/>
        <i x="364" s="1"/>
        <i x="2" s="1"/>
        <i x="186" s="1"/>
        <i x="277" s="1"/>
        <i x="16" s="1"/>
        <i x="461" s="1"/>
        <i x="256" s="1"/>
        <i x="371" s="1"/>
        <i x="265" s="1"/>
        <i x="181" s="1"/>
        <i x="205" s="1"/>
        <i x="331" s="1"/>
        <i x="450" s="1"/>
        <i x="423" s="1"/>
        <i x="111" s="1"/>
        <i x="121" s="1"/>
        <i x="411" s="1"/>
        <i x="251" s="1"/>
        <i x="4" s="1"/>
        <i x="257" s="1"/>
        <i x="335" s="1"/>
        <i x="127" s="1"/>
        <i x="462" s="1"/>
        <i x="183" s="1"/>
        <i x="312" s="1"/>
        <i x="491" s="1"/>
        <i x="418" s="1"/>
        <i x="338" s="1"/>
        <i x="340" s="1"/>
        <i x="464" s="1"/>
        <i x="242" s="1"/>
        <i x="190" s="1"/>
        <i x="155" s="1"/>
        <i x="122" s="1"/>
        <i x="7" s="1"/>
        <i x="439" s="1"/>
        <i x="298" s="1"/>
        <i x="53" s="1"/>
        <i x="329" s="1"/>
        <i x="72" s="1"/>
        <i x="241" s="1"/>
        <i x="191" s="1"/>
        <i x="171" s="1"/>
        <i x="291" s="1"/>
        <i x="223" s="1"/>
        <i x="354" s="1"/>
        <i x="117" s="1"/>
        <i x="143" s="1"/>
        <i x="70" s="1"/>
        <i x="458" s="1"/>
        <i x="271" s="1"/>
        <i x="87" s="1"/>
        <i x="373" s="1"/>
        <i x="202" s="1"/>
        <i x="454" s="1"/>
        <i x="330" s="1"/>
        <i x="444" s="1"/>
        <i x="96" s="1"/>
        <i x="270" s="1"/>
        <i x="480" s="1"/>
        <i x="255" s="1"/>
        <i x="158" s="1"/>
        <i x="11" s="1"/>
        <i x="131" s="1"/>
        <i x="375" s="1"/>
        <i x="233" s="1"/>
        <i x="49" s="1"/>
        <i x="434" s="1"/>
        <i x="467" s="1"/>
        <i x="103" s="1"/>
        <i x="31" s="1"/>
        <i x="174" s="1"/>
        <i x="246" s="1"/>
        <i x="199" s="1"/>
        <i x="258" s="1"/>
        <i x="341" s="1"/>
        <i x="78" s="1"/>
        <i x="204" s="1"/>
        <i x="410" s="1"/>
        <i x="13" s="1"/>
        <i x="152" s="1"/>
        <i x="48" s="1"/>
        <i x="318" s="1"/>
        <i x="108" s="1"/>
        <i x="141" s="1"/>
        <i x="57" s="1"/>
        <i x="276" s="1"/>
        <i x="380" s="1"/>
        <i x="225" s="1"/>
        <i x="63" s="1"/>
        <i x="259" s="1"/>
        <i x="342" s="1"/>
        <i x="254" s="1"/>
        <i x="393" s="1"/>
        <i x="98" s="1"/>
        <i x="231" s="1"/>
        <i x="210" s="1"/>
        <i x="422" s="1"/>
        <i x="305" s="1"/>
        <i x="407" s="1"/>
        <i x="320" s="1"/>
        <i x="264" s="1"/>
        <i x="3" s="1"/>
        <i x="498" s="1"/>
        <i x="405" s="1"/>
        <i x="303" s="1"/>
        <i x="85" s="1"/>
        <i x="150" s="1"/>
        <i x="272" s="1"/>
        <i x="478" s="1"/>
        <i x="89" s="1"/>
        <i x="367" s="1"/>
        <i x="459" s="1"/>
        <i x="499" s="1"/>
        <i x="337" s="1"/>
        <i x="238" s="1"/>
        <i x="250" s="1"/>
        <i x="73" s="1"/>
        <i x="333" s="1"/>
        <i x="198" s="1"/>
        <i x="431" s="1"/>
        <i x="239" s="1"/>
        <i x="247" s="1"/>
        <i x="107" s="1"/>
        <i x="309" s="1"/>
        <i x="179" s="1"/>
        <i x="369" s="1"/>
        <i x="106" s="1"/>
        <i x="394" s="1"/>
        <i x="34" s="1"/>
        <i x="194" s="1"/>
        <i x="362" s="1"/>
        <i x="355" s="1"/>
        <i x="177" s="1"/>
        <i x="8" s="1"/>
        <i x="384" s="1"/>
        <i x="440" s="1"/>
        <i x="206" s="1"/>
        <i x="219" s="1"/>
        <i x="172" s="1"/>
        <i x="50" s="1"/>
        <i x="389" s="1"/>
        <i x="195" s="1"/>
        <i x="348" s="1"/>
        <i x="311" s="1"/>
        <i x="58" s="1"/>
        <i x="167" s="1"/>
        <i x="18" s="1"/>
        <i x="100" s="1"/>
        <i x="116" s="1"/>
        <i x="390" s="1"/>
        <i x="10" s="1"/>
        <i x="140" s="1"/>
        <i x="207" s="1"/>
        <i x="383" s="1"/>
        <i x="115" s="1"/>
        <i x="69" s="1"/>
        <i x="30" s="1"/>
        <i x="382" s="1"/>
        <i x="27" s="1"/>
        <i x="86" s="1"/>
        <i x="26" s="1"/>
        <i x="292" s="1"/>
        <i x="414" s="1"/>
        <i x="151" s="1"/>
        <i x="455" s="1"/>
        <i x="214" s="1"/>
        <i x="310" s="1"/>
        <i x="226" s="1"/>
        <i x="281" s="1"/>
        <i x="391" s="1"/>
        <i x="99" s="1"/>
        <i x="164" s="1"/>
        <i x="353" s="1"/>
        <i x="350" s="1"/>
        <i x="294" s="1"/>
        <i x="357" s="1"/>
        <i x="212" s="1"/>
        <i x="282" s="1"/>
        <i x="135" s="1"/>
        <i x="5" s="1"/>
        <i x="470" s="1"/>
        <i x="445" s="1"/>
        <i x="203" s="1"/>
        <i x="154" s="1"/>
        <i x="144" s="1"/>
        <i x="283" s="1"/>
        <i x="83" s="1"/>
        <i x="188" s="1"/>
        <i x="356" s="1"/>
        <i x="137" s="1"/>
        <i x="221" s="1"/>
        <i x="253" s="1"/>
        <i x="421" s="1"/>
        <i x="118" s="1"/>
        <i x="288"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D688F756-8F26-4143-AB17-8FFA2353D37C}" sourceName="City">
  <pivotTables>
    <pivotTable tabId="8" name="PivotTable8"/>
  </pivotTables>
  <data>
    <tabular pivotCacheId="25413695">
      <items count="7">
        <i x="0" s="1"/>
        <i x="2" s="1"/>
        <i x="1" s="1"/>
        <i x="3" s="1"/>
        <i x="4" s="1"/>
        <i x="5" s="1"/>
        <i x="6"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7BE5D5ED-B857-44CB-A935-EABD1E16A163}" sourceName="Product">
  <pivotTables>
    <pivotTable tabId="16" name="PivotTable16"/>
  </pivotTables>
  <data>
    <tabular pivotCacheId="2099456506">
      <items count="13">
        <i x="0" s="1"/>
        <i x="1" s="1"/>
        <i x="2" s="1"/>
        <i x="3" s="1"/>
        <i x="4" s="1"/>
        <i x="5" s="1"/>
        <i x="6" s="1"/>
        <i x="7" s="1"/>
        <i x="8" s="1"/>
        <i x="9" s="1"/>
        <i x="12" s="1"/>
        <i x="10" s="1"/>
        <i x="11"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m_Of_Product" xr10:uid="{81DAEA86-B6CA-4BFB-8CBA-1666D9DF6D17}" sourceName="Sum Of Product">
  <pivotTables>
    <pivotTable tabId="16" name="PivotTable16"/>
  </pivotTables>
  <data>
    <tabular pivotCacheId="2099456506">
      <items count="13">
        <i x="0" s="1"/>
        <i x="2" s="1"/>
        <i x="11" s="1"/>
        <i x="4" s="1"/>
        <i x="9" s="1"/>
        <i x="1" s="1"/>
        <i x="8" s="1"/>
        <i x="6" s="1"/>
        <i x="5" s="1"/>
        <i x="10" s="1"/>
        <i x="3" s="1"/>
        <i x="7" s="1"/>
        <i x="12"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__Contribution" xr10:uid="{D977357C-F034-47EE-831E-0FCC7525051E}" sourceName="% Contribution">
  <pivotTables>
    <pivotTable tabId="16" name="PivotTable16"/>
  </pivotTables>
  <data>
    <tabular pivotCacheId="2099456506">
      <items count="13">
        <i x="0" s="1"/>
        <i x="2" s="1"/>
        <i x="11" s="1"/>
        <i x="4" s="1"/>
        <i x="9" s="1"/>
        <i x="1" s="1"/>
        <i x="8" s="1"/>
        <i x="6" s="1"/>
        <i x="5" s="1"/>
        <i x="10" s="1"/>
        <i x="3" s="1"/>
        <i x="7" s="1"/>
        <i x="1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D1420279-E0A7-491A-915C-172689976A6A}" cache="Slicer_Category" caption="Category" rowHeight="241300"/>
  <slicer name="Total Amount" xr10:uid="{D8068D3D-DD43-49DE-A50C-CD9233CB029E}" cache="Slicer_Total_Amount" caption="Total Amoun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otal Amount 1" xr10:uid="{A845BEEB-D592-4FC8-81F1-C7A2B47D45DE}" cache="Slicer_Total_Amount1" caption="Total Amount" rowHeight="241300"/>
  <slicer name="Months (Order Date)" xr10:uid="{AECE21F9-A404-4254-AEDD-CFA1A51B7315}" cache="Slicer_Months__Order_Date" caption="Months (Order Date)"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otal Amount 2" xr10:uid="{C7437233-B53D-462A-921D-B465A6B277E0}" cache="Slicer_Total_Amount2" caption="Total Amount" startItem="14" rowHeight="241300"/>
  <slicer name="City" xr10:uid="{D9785007-24C2-41C1-A673-AB0EE32B3E0E}" cache="Slicer_City" caption="City"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8D44712E-E429-4285-B74A-7F98DD31D491}" cache="Slicer_Product" caption="Product" rowHeight="241300"/>
  <slicer name="Sum Of Product" xr10:uid="{EFF9A604-F249-4D8F-B197-21D8DF322C6E}" cache="Slicer_Sum_Of_Product" caption="Sum Of Product" rowHeight="241300"/>
  <slicer name="% Contribution" xr10:uid="{17E363BC-63C5-49F1-8CED-867467BD45F4}" cache="Slicer___Contribution" caption="% Contribution"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29EFC072-2936-4137-A701-3171C23D48A9}" cache="Slicer_Category" caption="Category" rowHeight="241300"/>
  <slicer name="Months (Order Date) 1" xr10:uid="{75E2ECB1-1C72-4596-97E6-DCC42E685695}" cache="Slicer_Months__Order_Date" caption="Months (Order Date)" startItem="4" rowHeight="241300"/>
  <slicer name="City 1" xr10:uid="{782FD15F-FFCE-4EE1-8DCD-13ED6DD08467}" cache="Slicer_City" caption="City" rowHeight="241300"/>
  <slicer name="% Contribution 1" xr10:uid="{74FE6A2A-AE1D-416F-A4CE-0C4CCD742AD3}" cache="Slicer___Contribution" caption="% Contribut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F7B00CF-2ABF-4C93-BFCD-016CF59BC5A9}" name="Table4" displayName="Table4" ref="A1:H14" totalsRowShown="0" headerRowDxfId="27">
  <autoFilter ref="A1:H14" xr:uid="{9F7B00CF-2ABF-4C93-BFCD-016CF59BC5A9}"/>
  <tableColumns count="8">
    <tableColumn id="1" xr3:uid="{01B139BE-06A8-45A1-BBD3-1AF88E3E9B0D}" name="Purchase Total Amount"/>
    <tableColumn id="2" xr3:uid="{8010E1E5-FC21-4787-8834-0D9073FB3B8A}" name="JAN" dataDxfId="26"/>
    <tableColumn id="3" xr3:uid="{46E7E7A1-0CAD-4933-B373-137CFC8E5126}" name="FEB" dataDxfId="25"/>
    <tableColumn id="4" xr3:uid="{5C5C3ECC-242D-48D7-9B0F-28333FCC27D3}" name="MAR" dataDxfId="24"/>
    <tableColumn id="5" xr3:uid="{83F68ECC-CB7C-44A0-A89F-A1C8B3F69D4A}" name="APR" dataDxfId="23"/>
    <tableColumn id="6" xr3:uid="{6AB63C3A-CF79-445F-95A6-4618EA10133B}" name="MAY" dataDxfId="22"/>
    <tableColumn id="7" xr3:uid="{2A7FD24A-86FD-4E94-A910-75696B62BEA7}" name="JUN " dataDxfId="21"/>
    <tableColumn id="8" xr3:uid="{3B9A80AE-F207-41C2-8560-D28D3CE190B6}" name="SPARKLINE"/>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AA48B11-84C7-4F05-86CB-F00D06AC9D5F}" name="Table1" displayName="Table1" ref="A1:L501" totalsRowShown="0" headerRowDxfId="20" dataDxfId="19">
  <autoFilter ref="A1:L501" xr:uid="{3AA48B11-84C7-4F05-86CB-F00D06AC9D5F}"/>
  <tableColumns count="12">
    <tableColumn id="1" xr3:uid="{E96B4727-69EF-451C-B31E-85372971EFB3}" name="Customer ID" dataDxfId="18"/>
    <tableColumn id="2" xr3:uid="{0F0475CB-B4BC-425D-A61F-5D7391F2F266}" name="Customer Name" dataDxfId="17"/>
    <tableColumn id="3" xr3:uid="{44040F46-68FB-4487-8B1E-CAA6E51C6F72}" name="Product" dataDxfId="16"/>
    <tableColumn id="4" xr3:uid="{742E40FF-84E3-4C71-B4EC-56E8D08D023B}" name="Category" dataDxfId="15"/>
    <tableColumn id="5" xr3:uid="{AF4B42F0-35C5-4AD7-91C1-B8F970B62104}" name="Quantity" dataDxfId="14"/>
    <tableColumn id="6" xr3:uid="{4AAF7C1A-BB6C-46EE-8A40-CC3BFFB50F99}" name="Price" dataDxfId="13"/>
    <tableColumn id="7" xr3:uid="{CB96C8FF-C0B7-486E-9974-59452E7FD7E6}" name="Total Amount" dataDxfId="12">
      <calculatedColumnFormula>SUM(F2*E2)</calculatedColumnFormula>
    </tableColumn>
    <tableColumn id="8" xr3:uid="{60FB6C79-9832-4BCC-841F-432DD8DBED9C}" name="City" dataDxfId="11"/>
    <tableColumn id="9" xr3:uid="{E54F9440-5FCD-4ADA-BD6A-D3923736CC8A}" name="Payment" dataDxfId="10"/>
    <tableColumn id="10" xr3:uid="{8550F4D1-E0CF-44D1-A827-1DDD5BD6A6D4}" name="Rating" dataDxfId="9"/>
    <tableColumn id="14" xr3:uid="{8EA85F9E-D4B2-4E1E-ACC9-A95A61FD11FA}" name="Month" dataDxfId="8"/>
    <tableColumn id="15" xr3:uid="{D70C5403-B79E-48F1-80A9-E2E9A30DCF1C}" name="Year" dataDxfId="7"/>
  </tableColumns>
  <tableStyleInfo name="TableStyleLight1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7C5E0-E8B1-4B30-B6D4-1657C03503BF}">
  <dimension ref="A2:B9"/>
  <sheetViews>
    <sheetView workbookViewId="0">
      <selection activeCell="Q17" sqref="Q17"/>
    </sheetView>
  </sheetViews>
  <sheetFormatPr defaultRowHeight="15"/>
  <cols>
    <col min="1" max="1" width="10.7109375" bestFit="1" customWidth="1"/>
    <col min="2" max="2" width="18.85546875" bestFit="1" customWidth="1"/>
    <col min="3" max="3" width="11.140625" bestFit="1" customWidth="1"/>
    <col min="4" max="4" width="18.85546875" bestFit="1" customWidth="1"/>
  </cols>
  <sheetData>
    <row r="2" spans="1:2">
      <c r="A2" s="3" t="s">
        <v>1</v>
      </c>
      <c r="B2" t="s">
        <v>649</v>
      </c>
    </row>
    <row r="3" spans="1:2">
      <c r="A3" s="4" t="s">
        <v>14</v>
      </c>
      <c r="B3">
        <v>4559752</v>
      </c>
    </row>
    <row r="4" spans="1:2">
      <c r="A4" s="4" t="s">
        <v>56</v>
      </c>
      <c r="B4">
        <v>3218358</v>
      </c>
    </row>
    <row r="5" spans="1:2">
      <c r="A5" s="4" t="s">
        <v>7</v>
      </c>
      <c r="B5">
        <v>18051230</v>
      </c>
    </row>
    <row r="6" spans="1:2">
      <c r="A6" s="4" t="s">
        <v>11</v>
      </c>
      <c r="B6">
        <v>7071377</v>
      </c>
    </row>
    <row r="7" spans="1:2">
      <c r="A7" s="4" t="s">
        <v>106</v>
      </c>
      <c r="B7">
        <v>2105733</v>
      </c>
    </row>
    <row r="8" spans="1:2">
      <c r="A8" s="4" t="s">
        <v>80</v>
      </c>
      <c r="B8">
        <v>3567955</v>
      </c>
    </row>
    <row r="9" spans="1:2">
      <c r="A9" s="4" t="s">
        <v>646</v>
      </c>
      <c r="B9">
        <v>38574405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A1FEC1-AD1B-4399-81DE-8CA9CCB0C75A}">
  <dimension ref="A2:B9"/>
  <sheetViews>
    <sheetView workbookViewId="0">
      <selection activeCell="I18" sqref="I18"/>
    </sheetView>
  </sheetViews>
  <sheetFormatPr defaultRowHeight="15"/>
  <cols>
    <col min="1" max="1" width="12.42578125" bestFit="1" customWidth="1"/>
    <col min="2" max="2" width="18.85546875" bestFit="1" customWidth="1"/>
  </cols>
  <sheetData>
    <row r="2" spans="1:2">
      <c r="A2" s="3" t="s">
        <v>645</v>
      </c>
      <c r="B2" t="s">
        <v>649</v>
      </c>
    </row>
    <row r="3" spans="1:2">
      <c r="A3" s="4" t="s">
        <v>650</v>
      </c>
      <c r="B3">
        <v>9229930</v>
      </c>
    </row>
    <row r="4" spans="1:2">
      <c r="A4" s="4" t="s">
        <v>651</v>
      </c>
      <c r="B4">
        <v>6009441</v>
      </c>
    </row>
    <row r="5" spans="1:2">
      <c r="A5" s="4" t="s">
        <v>652</v>
      </c>
      <c r="B5">
        <v>6770966</v>
      </c>
    </row>
    <row r="6" spans="1:2">
      <c r="A6" s="4" t="s">
        <v>653</v>
      </c>
      <c r="B6">
        <v>5819990</v>
      </c>
    </row>
    <row r="7" spans="1:2">
      <c r="A7" s="4" t="s">
        <v>654</v>
      </c>
      <c r="B7">
        <v>7171131</v>
      </c>
    </row>
    <row r="8" spans="1:2">
      <c r="A8" s="4" t="s">
        <v>655</v>
      </c>
      <c r="B8">
        <v>3572947</v>
      </c>
    </row>
    <row r="9" spans="1:2">
      <c r="A9" s="4" t="s">
        <v>646</v>
      </c>
      <c r="B9" s="19">
        <v>38574405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6B168-5505-4C6E-8CBE-20DB8C65B47A}">
  <dimension ref="A1:B9"/>
  <sheetViews>
    <sheetView workbookViewId="0">
      <selection activeCell="P5" sqref="P5"/>
    </sheetView>
  </sheetViews>
  <sheetFormatPr defaultRowHeight="15"/>
  <cols>
    <col min="1" max="1" width="13.5703125" bestFit="1" customWidth="1"/>
    <col min="2" max="2" width="15.85546875" bestFit="1" customWidth="1"/>
  </cols>
  <sheetData>
    <row r="1" spans="1:2">
      <c r="A1" s="3" t="s">
        <v>657</v>
      </c>
      <c r="B1" t="s">
        <v>656</v>
      </c>
    </row>
    <row r="2" spans="1:2">
      <c r="A2" s="4" t="s">
        <v>27</v>
      </c>
      <c r="B2">
        <v>5370704</v>
      </c>
    </row>
    <row r="3" spans="1:2">
      <c r="A3" s="4" t="s">
        <v>9</v>
      </c>
      <c r="B3">
        <v>6086266</v>
      </c>
    </row>
    <row r="4" spans="1:2">
      <c r="A4" s="4" t="s">
        <v>35</v>
      </c>
      <c r="B4">
        <v>5161477</v>
      </c>
    </row>
    <row r="5" spans="1:2">
      <c r="A5" s="4" t="s">
        <v>46</v>
      </c>
      <c r="B5">
        <v>4976827</v>
      </c>
    </row>
    <row r="6" spans="1:2">
      <c r="A6" s="4" t="s">
        <v>49</v>
      </c>
      <c r="B6">
        <v>5600672</v>
      </c>
    </row>
    <row r="7" spans="1:2">
      <c r="A7" s="4" t="s">
        <v>64</v>
      </c>
      <c r="B7">
        <v>5174869</v>
      </c>
    </row>
    <row r="8" spans="1:2">
      <c r="A8" s="4" t="s">
        <v>74</v>
      </c>
      <c r="B8">
        <v>6203590</v>
      </c>
    </row>
    <row r="9" spans="1:2">
      <c r="A9" s="4" t="s">
        <v>646</v>
      </c>
      <c r="B9">
        <v>38574405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F1D461-6253-40C3-983F-CD2B5D119CCF}">
  <dimension ref="A3:C537"/>
  <sheetViews>
    <sheetView workbookViewId="0">
      <selection activeCell="M12" sqref="M12"/>
    </sheetView>
  </sheetViews>
  <sheetFormatPr defaultRowHeight="15"/>
  <cols>
    <col min="1" max="1" width="12.42578125" bestFit="1" customWidth="1"/>
    <col min="2" max="2" width="14.5703125" bestFit="1" customWidth="1"/>
    <col min="3" max="3" width="19.85546875" bestFit="1" customWidth="1"/>
  </cols>
  <sheetData>
    <row r="3" spans="1:3">
      <c r="A3" s="3" t="s">
        <v>696</v>
      </c>
      <c r="B3" t="s">
        <v>679</v>
      </c>
      <c r="C3" t="s">
        <v>678</v>
      </c>
    </row>
    <row r="4" spans="1:3">
      <c r="A4" s="4" t="s">
        <v>16</v>
      </c>
      <c r="B4">
        <v>2064608</v>
      </c>
      <c r="C4" s="11">
        <v>5.352274390233628E-2</v>
      </c>
    </row>
    <row r="5" spans="1:3">
      <c r="A5" s="4" t="s">
        <v>55</v>
      </c>
      <c r="B5">
        <v>3218358</v>
      </c>
      <c r="C5" s="11">
        <v>8.3432472905285257E-2</v>
      </c>
    </row>
    <row r="6" spans="1:3">
      <c r="A6" s="4" t="s">
        <v>105</v>
      </c>
      <c r="B6">
        <v>2105733</v>
      </c>
      <c r="C6" s="11">
        <v>5.4588865337002607E-2</v>
      </c>
    </row>
    <row r="7" spans="1:3">
      <c r="A7" s="4" t="s">
        <v>15</v>
      </c>
      <c r="B7">
        <v>3711749</v>
      </c>
      <c r="C7" s="11">
        <v>9.622310441340573E-2</v>
      </c>
    </row>
    <row r="8" spans="1:3">
      <c r="A8" s="4" t="s">
        <v>26</v>
      </c>
      <c r="B8">
        <v>2773395</v>
      </c>
      <c r="C8" s="11">
        <v>7.1897285259487478E-2</v>
      </c>
    </row>
    <row r="9" spans="1:3">
      <c r="A9" s="4" t="s">
        <v>6</v>
      </c>
      <c r="B9">
        <v>3695395</v>
      </c>
      <c r="C9" s="11">
        <v>9.5799144536383649E-2</v>
      </c>
    </row>
    <row r="10" spans="1:3">
      <c r="A10" s="4" t="s">
        <v>79</v>
      </c>
      <c r="B10">
        <v>3567955</v>
      </c>
      <c r="C10" s="11">
        <v>9.2495399475377521E-2</v>
      </c>
    </row>
    <row r="11" spans="1:3">
      <c r="A11" s="4" t="s">
        <v>12</v>
      </c>
      <c r="B11">
        <v>4702760</v>
      </c>
      <c r="C11" s="11">
        <v>0.12191399971042975</v>
      </c>
    </row>
    <row r="12" spans="1:3">
      <c r="A12" s="4" t="s">
        <v>10</v>
      </c>
      <c r="B12">
        <v>3375138</v>
      </c>
      <c r="C12" s="11">
        <v>8.7496825939376119E-2</v>
      </c>
    </row>
    <row r="13" spans="1:3">
      <c r="A13" s="4" t="s">
        <v>59</v>
      </c>
      <c r="B13">
        <v>3167931</v>
      </c>
      <c r="C13" s="11">
        <v>8.2125207115961996E-2</v>
      </c>
    </row>
    <row r="14" spans="1:3">
      <c r="A14" s="4" t="s">
        <v>677</v>
      </c>
      <c r="B14">
        <v>38574405</v>
      </c>
      <c r="C14" s="11">
        <v>1</v>
      </c>
    </row>
    <row r="15" spans="1:3">
      <c r="A15" s="4" t="s">
        <v>52</v>
      </c>
      <c r="B15">
        <v>3696239</v>
      </c>
      <c r="C15" s="11">
        <v>9.5821024329474425E-2</v>
      </c>
    </row>
    <row r="16" spans="1:3">
      <c r="A16" s="4" t="s">
        <v>13</v>
      </c>
      <c r="B16">
        <v>2495144</v>
      </c>
      <c r="C16" s="11">
        <v>6.4683927075479195E-2</v>
      </c>
    </row>
    <row r="17" spans="1:3">
      <c r="A17" s="4" t="s">
        <v>646</v>
      </c>
      <c r="B17">
        <v>77148810</v>
      </c>
      <c r="C17" s="11">
        <v>1.9999999999999998</v>
      </c>
    </row>
    <row r="37" spans="2:2">
      <c r="B37" s="1"/>
    </row>
    <row r="38" spans="2:2">
      <c r="B38" s="30"/>
    </row>
    <row r="39" spans="2:2">
      <c r="B39" s="30"/>
    </row>
    <row r="40" spans="2:2">
      <c r="B40" s="30"/>
    </row>
    <row r="41" spans="2:2">
      <c r="B41" s="30"/>
    </row>
    <row r="42" spans="2:2">
      <c r="B42" s="30"/>
    </row>
    <row r="43" spans="2:2">
      <c r="B43" s="30"/>
    </row>
    <row r="44" spans="2:2">
      <c r="B44" s="30"/>
    </row>
    <row r="45" spans="2:2">
      <c r="B45" s="30"/>
    </row>
    <row r="46" spans="2:2">
      <c r="B46" s="30"/>
    </row>
    <row r="47" spans="2:2">
      <c r="B47" s="30"/>
    </row>
    <row r="48" spans="2:2">
      <c r="B48" s="30"/>
    </row>
    <row r="49" spans="2:2">
      <c r="B49" s="30"/>
    </row>
    <row r="50" spans="2:2">
      <c r="B50" s="30"/>
    </row>
    <row r="51" spans="2:2">
      <c r="B51" s="30"/>
    </row>
    <row r="52" spans="2:2">
      <c r="B52" s="30"/>
    </row>
    <row r="53" spans="2:2">
      <c r="B53" s="30"/>
    </row>
    <row r="54" spans="2:2">
      <c r="B54" s="30"/>
    </row>
    <row r="55" spans="2:2">
      <c r="B55" s="30"/>
    </row>
    <row r="56" spans="2:2">
      <c r="B56" s="30"/>
    </row>
    <row r="57" spans="2:2">
      <c r="B57" s="30"/>
    </row>
    <row r="58" spans="2:2">
      <c r="B58" s="30"/>
    </row>
    <row r="59" spans="2:2">
      <c r="B59" s="30"/>
    </row>
    <row r="60" spans="2:2">
      <c r="B60" s="30"/>
    </row>
    <row r="61" spans="2:2">
      <c r="B61" s="30"/>
    </row>
    <row r="62" spans="2:2">
      <c r="B62" s="30"/>
    </row>
    <row r="63" spans="2:2">
      <c r="B63" s="30"/>
    </row>
    <row r="64" spans="2:2">
      <c r="B64" s="30"/>
    </row>
    <row r="65" spans="2:2">
      <c r="B65" s="30"/>
    </row>
    <row r="66" spans="2:2">
      <c r="B66" s="30"/>
    </row>
    <row r="67" spans="2:2">
      <c r="B67" s="30"/>
    </row>
    <row r="68" spans="2:2">
      <c r="B68" s="30"/>
    </row>
    <row r="69" spans="2:2">
      <c r="B69" s="30"/>
    </row>
    <row r="70" spans="2:2">
      <c r="B70" s="30"/>
    </row>
    <row r="71" spans="2:2">
      <c r="B71" s="30"/>
    </row>
    <row r="72" spans="2:2">
      <c r="B72" s="30"/>
    </row>
    <row r="73" spans="2:2">
      <c r="B73" s="30"/>
    </row>
    <row r="74" spans="2:2">
      <c r="B74" s="30"/>
    </row>
    <row r="75" spans="2:2">
      <c r="B75" s="30"/>
    </row>
    <row r="76" spans="2:2">
      <c r="B76" s="30"/>
    </row>
    <row r="77" spans="2:2">
      <c r="B77" s="30"/>
    </row>
    <row r="78" spans="2:2">
      <c r="B78" s="30"/>
    </row>
    <row r="79" spans="2:2">
      <c r="B79" s="30"/>
    </row>
    <row r="80" spans="2:2">
      <c r="B80" s="30"/>
    </row>
    <row r="81" spans="2:2">
      <c r="B81" s="30"/>
    </row>
    <row r="82" spans="2:2">
      <c r="B82" s="30"/>
    </row>
    <row r="83" spans="2:2">
      <c r="B83" s="30"/>
    </row>
    <row r="84" spans="2:2">
      <c r="B84" s="30"/>
    </row>
    <row r="85" spans="2:2">
      <c r="B85" s="30"/>
    </row>
    <row r="86" spans="2:2">
      <c r="B86" s="30"/>
    </row>
    <row r="87" spans="2:2">
      <c r="B87" s="30"/>
    </row>
    <row r="88" spans="2:2">
      <c r="B88" s="30"/>
    </row>
    <row r="89" spans="2:2">
      <c r="B89" s="30"/>
    </row>
    <row r="90" spans="2:2">
      <c r="B90" s="30"/>
    </row>
    <row r="91" spans="2:2">
      <c r="B91" s="30"/>
    </row>
    <row r="92" spans="2:2">
      <c r="B92" s="30"/>
    </row>
    <row r="93" spans="2:2">
      <c r="B93" s="30"/>
    </row>
    <row r="94" spans="2:2">
      <c r="B94" s="30"/>
    </row>
    <row r="95" spans="2:2">
      <c r="B95" s="30"/>
    </row>
    <row r="96" spans="2:2">
      <c r="B96" s="30"/>
    </row>
    <row r="97" spans="2:2">
      <c r="B97" s="30"/>
    </row>
    <row r="98" spans="2:2">
      <c r="B98" s="30"/>
    </row>
    <row r="99" spans="2:2">
      <c r="B99" s="30"/>
    </row>
    <row r="100" spans="2:2">
      <c r="B100" s="30"/>
    </row>
    <row r="101" spans="2:2">
      <c r="B101" s="30"/>
    </row>
    <row r="102" spans="2:2">
      <c r="B102" s="30"/>
    </row>
    <row r="103" spans="2:2">
      <c r="B103" s="30"/>
    </row>
    <row r="104" spans="2:2">
      <c r="B104" s="30"/>
    </row>
    <row r="105" spans="2:2">
      <c r="B105" s="30"/>
    </row>
    <row r="106" spans="2:2">
      <c r="B106" s="30"/>
    </row>
    <row r="107" spans="2:2">
      <c r="B107" s="30"/>
    </row>
    <row r="108" spans="2:2">
      <c r="B108" s="30"/>
    </row>
    <row r="109" spans="2:2">
      <c r="B109" s="30"/>
    </row>
    <row r="110" spans="2:2">
      <c r="B110" s="30"/>
    </row>
    <row r="111" spans="2:2">
      <c r="B111" s="30"/>
    </row>
    <row r="112" spans="2:2">
      <c r="B112" s="30"/>
    </row>
    <row r="113" spans="2:2">
      <c r="B113" s="30"/>
    </row>
    <row r="114" spans="2:2">
      <c r="B114" s="30"/>
    </row>
    <row r="115" spans="2:2">
      <c r="B115" s="30"/>
    </row>
    <row r="116" spans="2:2">
      <c r="B116" s="30"/>
    </row>
    <row r="117" spans="2:2">
      <c r="B117" s="30"/>
    </row>
    <row r="118" spans="2:2">
      <c r="B118" s="30"/>
    </row>
    <row r="119" spans="2:2">
      <c r="B119" s="30"/>
    </row>
    <row r="120" spans="2:2">
      <c r="B120" s="30"/>
    </row>
    <row r="121" spans="2:2">
      <c r="B121" s="30"/>
    </row>
    <row r="122" spans="2:2">
      <c r="B122" s="30"/>
    </row>
    <row r="123" spans="2:2">
      <c r="B123" s="30"/>
    </row>
    <row r="124" spans="2:2">
      <c r="B124" s="30"/>
    </row>
    <row r="125" spans="2:2">
      <c r="B125" s="30"/>
    </row>
    <row r="126" spans="2:2">
      <c r="B126" s="30"/>
    </row>
    <row r="127" spans="2:2">
      <c r="B127" s="30"/>
    </row>
    <row r="128" spans="2:2">
      <c r="B128" s="30"/>
    </row>
    <row r="129" spans="2:2">
      <c r="B129" s="30"/>
    </row>
    <row r="130" spans="2:2">
      <c r="B130" s="30"/>
    </row>
    <row r="131" spans="2:2">
      <c r="B131" s="30"/>
    </row>
    <row r="132" spans="2:2">
      <c r="B132" s="30"/>
    </row>
    <row r="133" spans="2:2">
      <c r="B133" s="30"/>
    </row>
    <row r="134" spans="2:2">
      <c r="B134" s="30"/>
    </row>
    <row r="135" spans="2:2">
      <c r="B135" s="30"/>
    </row>
    <row r="136" spans="2:2">
      <c r="B136" s="30"/>
    </row>
    <row r="137" spans="2:2">
      <c r="B137" s="30"/>
    </row>
    <row r="138" spans="2:2">
      <c r="B138" s="30"/>
    </row>
    <row r="139" spans="2:2">
      <c r="B139" s="30"/>
    </row>
    <row r="140" spans="2:2">
      <c r="B140" s="30"/>
    </row>
    <row r="141" spans="2:2">
      <c r="B141" s="30"/>
    </row>
    <row r="142" spans="2:2">
      <c r="B142" s="30"/>
    </row>
    <row r="143" spans="2:2">
      <c r="B143" s="30"/>
    </row>
    <row r="144" spans="2:2">
      <c r="B144" s="30"/>
    </row>
    <row r="145" spans="2:2">
      <c r="B145" s="30"/>
    </row>
    <row r="146" spans="2:2">
      <c r="B146" s="30"/>
    </row>
    <row r="147" spans="2:2">
      <c r="B147" s="30"/>
    </row>
    <row r="148" spans="2:2">
      <c r="B148" s="30"/>
    </row>
    <row r="149" spans="2:2">
      <c r="B149" s="30"/>
    </row>
    <row r="150" spans="2:2">
      <c r="B150" s="30"/>
    </row>
    <row r="151" spans="2:2">
      <c r="B151" s="30"/>
    </row>
    <row r="152" spans="2:2">
      <c r="B152" s="30"/>
    </row>
    <row r="153" spans="2:2">
      <c r="B153" s="30"/>
    </row>
    <row r="154" spans="2:2">
      <c r="B154" s="30"/>
    </row>
    <row r="155" spans="2:2">
      <c r="B155" s="30"/>
    </row>
    <row r="156" spans="2:2">
      <c r="B156" s="30"/>
    </row>
    <row r="157" spans="2:2">
      <c r="B157" s="30"/>
    </row>
    <row r="158" spans="2:2">
      <c r="B158" s="30"/>
    </row>
    <row r="159" spans="2:2">
      <c r="B159" s="30"/>
    </row>
    <row r="160" spans="2:2">
      <c r="B160" s="30"/>
    </row>
    <row r="161" spans="2:2">
      <c r="B161" s="30"/>
    </row>
    <row r="162" spans="2:2">
      <c r="B162" s="30"/>
    </row>
    <row r="163" spans="2:2">
      <c r="B163" s="30"/>
    </row>
    <row r="164" spans="2:2">
      <c r="B164" s="30"/>
    </row>
    <row r="165" spans="2:2">
      <c r="B165" s="30"/>
    </row>
    <row r="166" spans="2:2">
      <c r="B166" s="30"/>
    </row>
    <row r="167" spans="2:2">
      <c r="B167" s="30"/>
    </row>
    <row r="168" spans="2:2">
      <c r="B168" s="30"/>
    </row>
    <row r="169" spans="2:2">
      <c r="B169" s="30"/>
    </row>
    <row r="170" spans="2:2">
      <c r="B170" s="30"/>
    </row>
    <row r="171" spans="2:2">
      <c r="B171" s="30"/>
    </row>
    <row r="172" spans="2:2">
      <c r="B172" s="30"/>
    </row>
    <row r="173" spans="2:2">
      <c r="B173" s="30"/>
    </row>
    <row r="174" spans="2:2">
      <c r="B174" s="30"/>
    </row>
    <row r="175" spans="2:2">
      <c r="B175" s="30"/>
    </row>
    <row r="176" spans="2:2">
      <c r="B176" s="30"/>
    </row>
    <row r="177" spans="2:2">
      <c r="B177" s="30"/>
    </row>
    <row r="178" spans="2:2">
      <c r="B178" s="30"/>
    </row>
    <row r="179" spans="2:2">
      <c r="B179" s="30"/>
    </row>
    <row r="180" spans="2:2">
      <c r="B180" s="30"/>
    </row>
    <row r="181" spans="2:2">
      <c r="B181" s="30"/>
    </row>
    <row r="182" spans="2:2">
      <c r="B182" s="30"/>
    </row>
    <row r="183" spans="2:2">
      <c r="B183" s="30"/>
    </row>
    <row r="184" spans="2:2">
      <c r="B184" s="30"/>
    </row>
    <row r="185" spans="2:2">
      <c r="B185" s="30"/>
    </row>
    <row r="186" spans="2:2">
      <c r="B186" s="30"/>
    </row>
    <row r="187" spans="2:2">
      <c r="B187" s="30"/>
    </row>
    <row r="188" spans="2:2">
      <c r="B188" s="30"/>
    </row>
    <row r="189" spans="2:2">
      <c r="B189" s="30"/>
    </row>
    <row r="190" spans="2:2">
      <c r="B190" s="30"/>
    </row>
    <row r="191" spans="2:2">
      <c r="B191" s="30"/>
    </row>
    <row r="192" spans="2:2">
      <c r="B192" s="30"/>
    </row>
    <row r="193" spans="2:2">
      <c r="B193" s="30"/>
    </row>
    <row r="194" spans="2:2">
      <c r="B194" s="30"/>
    </row>
    <row r="195" spans="2:2">
      <c r="B195" s="30"/>
    </row>
    <row r="196" spans="2:2">
      <c r="B196" s="30"/>
    </row>
    <row r="197" spans="2:2">
      <c r="B197" s="30"/>
    </row>
    <row r="198" spans="2:2">
      <c r="B198" s="30"/>
    </row>
    <row r="199" spans="2:2">
      <c r="B199" s="30"/>
    </row>
    <row r="200" spans="2:2">
      <c r="B200" s="30"/>
    </row>
    <row r="201" spans="2:2">
      <c r="B201" s="30"/>
    </row>
    <row r="202" spans="2:2">
      <c r="B202" s="30"/>
    </row>
    <row r="203" spans="2:2">
      <c r="B203" s="30"/>
    </row>
    <row r="204" spans="2:2">
      <c r="B204" s="30"/>
    </row>
    <row r="205" spans="2:2">
      <c r="B205" s="30"/>
    </row>
    <row r="206" spans="2:2">
      <c r="B206" s="30"/>
    </row>
    <row r="207" spans="2:2">
      <c r="B207" s="30"/>
    </row>
    <row r="208" spans="2:2">
      <c r="B208" s="30"/>
    </row>
    <row r="209" spans="2:2">
      <c r="B209" s="30"/>
    </row>
    <row r="210" spans="2:2">
      <c r="B210" s="30"/>
    </row>
    <row r="211" spans="2:2">
      <c r="B211" s="30"/>
    </row>
    <row r="212" spans="2:2">
      <c r="B212" s="30"/>
    </row>
    <row r="213" spans="2:2">
      <c r="B213" s="30"/>
    </row>
    <row r="214" spans="2:2">
      <c r="B214" s="30"/>
    </row>
    <row r="215" spans="2:2">
      <c r="B215" s="30"/>
    </row>
    <row r="216" spans="2:2">
      <c r="B216" s="30"/>
    </row>
    <row r="217" spans="2:2">
      <c r="B217" s="30"/>
    </row>
    <row r="218" spans="2:2">
      <c r="B218" s="30"/>
    </row>
    <row r="219" spans="2:2">
      <c r="B219" s="30"/>
    </row>
    <row r="220" spans="2:2">
      <c r="B220" s="30"/>
    </row>
    <row r="221" spans="2:2">
      <c r="B221" s="30"/>
    </row>
    <row r="222" spans="2:2">
      <c r="B222" s="30"/>
    </row>
    <row r="223" spans="2:2">
      <c r="B223" s="30"/>
    </row>
    <row r="224" spans="2:2">
      <c r="B224" s="30"/>
    </row>
    <row r="225" spans="2:2">
      <c r="B225" s="30"/>
    </row>
    <row r="226" spans="2:2">
      <c r="B226" s="30"/>
    </row>
    <row r="227" spans="2:2">
      <c r="B227" s="30"/>
    </row>
    <row r="228" spans="2:2">
      <c r="B228" s="30"/>
    </row>
    <row r="229" spans="2:2">
      <c r="B229" s="30"/>
    </row>
    <row r="230" spans="2:2">
      <c r="B230" s="30"/>
    </row>
    <row r="231" spans="2:2">
      <c r="B231" s="30"/>
    </row>
    <row r="232" spans="2:2">
      <c r="B232" s="30"/>
    </row>
    <row r="233" spans="2:2">
      <c r="B233" s="30"/>
    </row>
    <row r="234" spans="2:2">
      <c r="B234" s="30"/>
    </row>
    <row r="235" spans="2:2">
      <c r="B235" s="30"/>
    </row>
    <row r="236" spans="2:2">
      <c r="B236" s="30"/>
    </row>
    <row r="237" spans="2:2">
      <c r="B237" s="30"/>
    </row>
    <row r="238" spans="2:2">
      <c r="B238" s="30"/>
    </row>
    <row r="239" spans="2:2">
      <c r="B239" s="30"/>
    </row>
    <row r="240" spans="2:2">
      <c r="B240" s="30"/>
    </row>
    <row r="241" spans="2:2">
      <c r="B241" s="30"/>
    </row>
    <row r="242" spans="2:2">
      <c r="B242" s="30"/>
    </row>
    <row r="243" spans="2:2">
      <c r="B243" s="30"/>
    </row>
    <row r="244" spans="2:2">
      <c r="B244" s="30"/>
    </row>
    <row r="245" spans="2:2">
      <c r="B245" s="30"/>
    </row>
    <row r="246" spans="2:2">
      <c r="B246" s="30"/>
    </row>
    <row r="247" spans="2:2">
      <c r="B247" s="30"/>
    </row>
    <row r="248" spans="2:2">
      <c r="B248" s="30"/>
    </row>
    <row r="249" spans="2:2">
      <c r="B249" s="30"/>
    </row>
    <row r="250" spans="2:2">
      <c r="B250" s="30"/>
    </row>
    <row r="251" spans="2:2">
      <c r="B251" s="30"/>
    </row>
    <row r="252" spans="2:2">
      <c r="B252" s="30"/>
    </row>
    <row r="253" spans="2:2">
      <c r="B253" s="30"/>
    </row>
    <row r="254" spans="2:2">
      <c r="B254" s="30"/>
    </row>
    <row r="255" spans="2:2">
      <c r="B255" s="30"/>
    </row>
    <row r="256" spans="2:2">
      <c r="B256" s="30"/>
    </row>
    <row r="257" spans="2:2">
      <c r="B257" s="30"/>
    </row>
    <row r="258" spans="2:2">
      <c r="B258" s="30"/>
    </row>
    <row r="259" spans="2:2">
      <c r="B259" s="30"/>
    </row>
    <row r="260" spans="2:2">
      <c r="B260" s="30"/>
    </row>
    <row r="261" spans="2:2">
      <c r="B261" s="30"/>
    </row>
    <row r="262" spans="2:2">
      <c r="B262" s="30"/>
    </row>
    <row r="263" spans="2:2">
      <c r="B263" s="30"/>
    </row>
    <row r="264" spans="2:2">
      <c r="B264" s="30"/>
    </row>
    <row r="265" spans="2:2">
      <c r="B265" s="30"/>
    </row>
    <row r="266" spans="2:2">
      <c r="B266" s="30"/>
    </row>
    <row r="267" spans="2:2">
      <c r="B267" s="30"/>
    </row>
    <row r="268" spans="2:2">
      <c r="B268" s="30"/>
    </row>
    <row r="269" spans="2:2">
      <c r="B269" s="30"/>
    </row>
    <row r="270" spans="2:2">
      <c r="B270" s="30"/>
    </row>
    <row r="271" spans="2:2">
      <c r="B271" s="30"/>
    </row>
    <row r="272" spans="2:2">
      <c r="B272" s="30"/>
    </row>
    <row r="273" spans="2:2">
      <c r="B273" s="30"/>
    </row>
    <row r="274" spans="2:2">
      <c r="B274" s="30"/>
    </row>
    <row r="275" spans="2:2">
      <c r="B275" s="30"/>
    </row>
    <row r="276" spans="2:2">
      <c r="B276" s="30"/>
    </row>
    <row r="277" spans="2:2">
      <c r="B277" s="30"/>
    </row>
    <row r="278" spans="2:2">
      <c r="B278" s="30"/>
    </row>
    <row r="279" spans="2:2">
      <c r="B279" s="30"/>
    </row>
    <row r="280" spans="2:2">
      <c r="B280" s="30"/>
    </row>
    <row r="281" spans="2:2">
      <c r="B281" s="30"/>
    </row>
    <row r="282" spans="2:2">
      <c r="B282" s="30"/>
    </row>
    <row r="283" spans="2:2">
      <c r="B283" s="30"/>
    </row>
    <row r="284" spans="2:2">
      <c r="B284" s="30"/>
    </row>
    <row r="285" spans="2:2">
      <c r="B285" s="30"/>
    </row>
    <row r="286" spans="2:2">
      <c r="B286" s="30"/>
    </row>
    <row r="287" spans="2:2">
      <c r="B287" s="30"/>
    </row>
    <row r="288" spans="2:2">
      <c r="B288" s="30"/>
    </row>
    <row r="289" spans="2:2">
      <c r="B289" s="30"/>
    </row>
    <row r="290" spans="2:2">
      <c r="B290" s="30"/>
    </row>
    <row r="291" spans="2:2">
      <c r="B291" s="30"/>
    </row>
    <row r="292" spans="2:2">
      <c r="B292" s="30"/>
    </row>
    <row r="293" spans="2:2">
      <c r="B293" s="30"/>
    </row>
    <row r="294" spans="2:2">
      <c r="B294" s="30"/>
    </row>
    <row r="295" spans="2:2">
      <c r="B295" s="30"/>
    </row>
    <row r="296" spans="2:2">
      <c r="B296" s="30"/>
    </row>
    <row r="297" spans="2:2">
      <c r="B297" s="30"/>
    </row>
    <row r="298" spans="2:2">
      <c r="B298" s="30"/>
    </row>
    <row r="299" spans="2:2">
      <c r="B299" s="30"/>
    </row>
    <row r="300" spans="2:2">
      <c r="B300" s="30"/>
    </row>
    <row r="301" spans="2:2">
      <c r="B301" s="30"/>
    </row>
    <row r="302" spans="2:2">
      <c r="B302" s="30"/>
    </row>
    <row r="303" spans="2:2">
      <c r="B303" s="30"/>
    </row>
    <row r="304" spans="2:2">
      <c r="B304" s="30"/>
    </row>
    <row r="305" spans="2:2">
      <c r="B305" s="30"/>
    </row>
    <row r="306" spans="2:2">
      <c r="B306" s="30"/>
    </row>
    <row r="307" spans="2:2">
      <c r="B307" s="30"/>
    </row>
    <row r="308" spans="2:2">
      <c r="B308" s="30"/>
    </row>
    <row r="309" spans="2:2">
      <c r="B309" s="30"/>
    </row>
    <row r="310" spans="2:2">
      <c r="B310" s="30"/>
    </row>
    <row r="311" spans="2:2">
      <c r="B311" s="30"/>
    </row>
    <row r="312" spans="2:2">
      <c r="B312" s="30"/>
    </row>
    <row r="313" spans="2:2">
      <c r="B313" s="30"/>
    </row>
    <row r="314" spans="2:2">
      <c r="B314" s="30"/>
    </row>
    <row r="315" spans="2:2">
      <c r="B315" s="30"/>
    </row>
    <row r="316" spans="2:2">
      <c r="B316" s="30"/>
    </row>
    <row r="317" spans="2:2">
      <c r="B317" s="30"/>
    </row>
    <row r="318" spans="2:2">
      <c r="B318" s="30"/>
    </row>
    <row r="319" spans="2:2">
      <c r="B319" s="30"/>
    </row>
    <row r="320" spans="2:2">
      <c r="B320" s="30"/>
    </row>
    <row r="321" spans="2:2">
      <c r="B321" s="30"/>
    </row>
    <row r="322" spans="2:2">
      <c r="B322" s="30"/>
    </row>
    <row r="323" spans="2:2">
      <c r="B323" s="30"/>
    </row>
    <row r="324" spans="2:2">
      <c r="B324" s="30"/>
    </row>
    <row r="325" spans="2:2">
      <c r="B325" s="30"/>
    </row>
    <row r="326" spans="2:2">
      <c r="B326" s="30"/>
    </row>
    <row r="327" spans="2:2">
      <c r="B327" s="30"/>
    </row>
    <row r="328" spans="2:2">
      <c r="B328" s="30"/>
    </row>
    <row r="329" spans="2:2">
      <c r="B329" s="30"/>
    </row>
    <row r="330" spans="2:2">
      <c r="B330" s="30"/>
    </row>
    <row r="331" spans="2:2">
      <c r="B331" s="30"/>
    </row>
    <row r="332" spans="2:2">
      <c r="B332" s="30"/>
    </row>
    <row r="333" spans="2:2">
      <c r="B333" s="30"/>
    </row>
    <row r="334" spans="2:2">
      <c r="B334" s="30"/>
    </row>
    <row r="335" spans="2:2">
      <c r="B335" s="30"/>
    </row>
    <row r="336" spans="2:2">
      <c r="B336" s="30"/>
    </row>
    <row r="337" spans="2:2">
      <c r="B337" s="30"/>
    </row>
    <row r="338" spans="2:2">
      <c r="B338" s="30"/>
    </row>
    <row r="339" spans="2:2">
      <c r="B339" s="30"/>
    </row>
    <row r="340" spans="2:2">
      <c r="B340" s="30"/>
    </row>
    <row r="341" spans="2:2">
      <c r="B341" s="30"/>
    </row>
    <row r="342" spans="2:2">
      <c r="B342" s="30"/>
    </row>
    <row r="343" spans="2:2">
      <c r="B343" s="30"/>
    </row>
    <row r="344" spans="2:2">
      <c r="B344" s="30"/>
    </row>
    <row r="345" spans="2:2">
      <c r="B345" s="30"/>
    </row>
    <row r="346" spans="2:2">
      <c r="B346" s="30"/>
    </row>
    <row r="347" spans="2:2">
      <c r="B347" s="30"/>
    </row>
    <row r="348" spans="2:2">
      <c r="B348" s="30"/>
    </row>
    <row r="349" spans="2:2">
      <c r="B349" s="30"/>
    </row>
    <row r="350" spans="2:2">
      <c r="B350" s="30"/>
    </row>
    <row r="351" spans="2:2">
      <c r="B351" s="30"/>
    </row>
    <row r="352" spans="2:2">
      <c r="B352" s="30"/>
    </row>
    <row r="353" spans="2:2">
      <c r="B353" s="30"/>
    </row>
    <row r="354" spans="2:2">
      <c r="B354" s="30"/>
    </row>
    <row r="355" spans="2:2">
      <c r="B355" s="30"/>
    </row>
    <row r="356" spans="2:2">
      <c r="B356" s="30"/>
    </row>
    <row r="357" spans="2:2">
      <c r="B357" s="30"/>
    </row>
    <row r="358" spans="2:2">
      <c r="B358" s="30"/>
    </row>
    <row r="359" spans="2:2">
      <c r="B359" s="30"/>
    </row>
    <row r="360" spans="2:2">
      <c r="B360" s="30"/>
    </row>
    <row r="361" spans="2:2">
      <c r="B361" s="30"/>
    </row>
    <row r="362" spans="2:2">
      <c r="B362" s="30"/>
    </row>
    <row r="363" spans="2:2">
      <c r="B363" s="30"/>
    </row>
    <row r="364" spans="2:2">
      <c r="B364" s="30"/>
    </row>
    <row r="365" spans="2:2">
      <c r="B365" s="30"/>
    </row>
    <row r="366" spans="2:2">
      <c r="B366" s="30"/>
    </row>
    <row r="367" spans="2:2">
      <c r="B367" s="30"/>
    </row>
    <row r="368" spans="2:2">
      <c r="B368" s="30"/>
    </row>
    <row r="369" spans="2:2">
      <c r="B369" s="30"/>
    </row>
    <row r="370" spans="2:2">
      <c r="B370" s="30"/>
    </row>
    <row r="371" spans="2:2">
      <c r="B371" s="30"/>
    </row>
    <row r="372" spans="2:2">
      <c r="B372" s="30"/>
    </row>
    <row r="373" spans="2:2">
      <c r="B373" s="30"/>
    </row>
    <row r="374" spans="2:2">
      <c r="B374" s="30"/>
    </row>
    <row r="375" spans="2:2">
      <c r="B375" s="30"/>
    </row>
    <row r="376" spans="2:2">
      <c r="B376" s="30"/>
    </row>
    <row r="377" spans="2:2">
      <c r="B377" s="30"/>
    </row>
    <row r="378" spans="2:2">
      <c r="B378" s="30"/>
    </row>
    <row r="379" spans="2:2">
      <c r="B379" s="30"/>
    </row>
    <row r="380" spans="2:2">
      <c r="B380" s="30"/>
    </row>
    <row r="381" spans="2:2">
      <c r="B381" s="30"/>
    </row>
    <row r="382" spans="2:2">
      <c r="B382" s="30"/>
    </row>
    <row r="383" spans="2:2">
      <c r="B383" s="30"/>
    </row>
    <row r="384" spans="2:2">
      <c r="B384" s="30"/>
    </row>
    <row r="385" spans="2:2">
      <c r="B385" s="30"/>
    </row>
    <row r="386" spans="2:2">
      <c r="B386" s="30"/>
    </row>
    <row r="387" spans="2:2">
      <c r="B387" s="30"/>
    </row>
    <row r="388" spans="2:2">
      <c r="B388" s="30"/>
    </row>
    <row r="389" spans="2:2">
      <c r="B389" s="30"/>
    </row>
    <row r="390" spans="2:2">
      <c r="B390" s="30"/>
    </row>
    <row r="391" spans="2:2">
      <c r="B391" s="30"/>
    </row>
    <row r="392" spans="2:2">
      <c r="B392" s="30"/>
    </row>
    <row r="393" spans="2:2">
      <c r="B393" s="30"/>
    </row>
    <row r="394" spans="2:2">
      <c r="B394" s="30"/>
    </row>
    <row r="395" spans="2:2">
      <c r="B395" s="30"/>
    </row>
    <row r="396" spans="2:2">
      <c r="B396" s="30"/>
    </row>
    <row r="397" spans="2:2">
      <c r="B397" s="30"/>
    </row>
    <row r="398" spans="2:2">
      <c r="B398" s="30"/>
    </row>
    <row r="399" spans="2:2">
      <c r="B399" s="30"/>
    </row>
    <row r="400" spans="2:2">
      <c r="B400" s="30"/>
    </row>
    <row r="401" spans="2:2">
      <c r="B401" s="30"/>
    </row>
    <row r="402" spans="2:2">
      <c r="B402" s="30"/>
    </row>
    <row r="403" spans="2:2">
      <c r="B403" s="30"/>
    </row>
    <row r="404" spans="2:2">
      <c r="B404" s="30"/>
    </row>
    <row r="405" spans="2:2">
      <c r="B405" s="30"/>
    </row>
    <row r="406" spans="2:2">
      <c r="B406" s="30"/>
    </row>
    <row r="407" spans="2:2">
      <c r="B407" s="30"/>
    </row>
    <row r="408" spans="2:2">
      <c r="B408" s="30"/>
    </row>
    <row r="409" spans="2:2">
      <c r="B409" s="30"/>
    </row>
    <row r="410" spans="2:2">
      <c r="B410" s="30"/>
    </row>
    <row r="411" spans="2:2">
      <c r="B411" s="30"/>
    </row>
    <row r="412" spans="2:2">
      <c r="B412" s="30"/>
    </row>
    <row r="413" spans="2:2">
      <c r="B413" s="30"/>
    </row>
    <row r="414" spans="2:2">
      <c r="B414" s="30"/>
    </row>
    <row r="415" spans="2:2">
      <c r="B415" s="30"/>
    </row>
    <row r="416" spans="2:2">
      <c r="B416" s="30"/>
    </row>
    <row r="417" spans="2:2">
      <c r="B417" s="30"/>
    </row>
    <row r="418" spans="2:2">
      <c r="B418" s="30"/>
    </row>
    <row r="419" spans="2:2">
      <c r="B419" s="30"/>
    </row>
    <row r="420" spans="2:2">
      <c r="B420" s="30"/>
    </row>
    <row r="421" spans="2:2">
      <c r="B421" s="30"/>
    </row>
    <row r="422" spans="2:2">
      <c r="B422" s="30"/>
    </row>
    <row r="423" spans="2:2">
      <c r="B423" s="30"/>
    </row>
    <row r="424" spans="2:2">
      <c r="B424" s="30"/>
    </row>
    <row r="425" spans="2:2">
      <c r="B425" s="30"/>
    </row>
    <row r="426" spans="2:2">
      <c r="B426" s="30"/>
    </row>
    <row r="427" spans="2:2">
      <c r="B427" s="30"/>
    </row>
    <row r="428" spans="2:2">
      <c r="B428" s="30"/>
    </row>
    <row r="429" spans="2:2">
      <c r="B429" s="30"/>
    </row>
    <row r="430" spans="2:2">
      <c r="B430" s="30"/>
    </row>
    <row r="431" spans="2:2">
      <c r="B431" s="30"/>
    </row>
    <row r="432" spans="2:2">
      <c r="B432" s="30"/>
    </row>
    <row r="433" spans="2:2">
      <c r="B433" s="30"/>
    </row>
    <row r="434" spans="2:2">
      <c r="B434" s="30"/>
    </row>
    <row r="435" spans="2:2">
      <c r="B435" s="30"/>
    </row>
    <row r="436" spans="2:2">
      <c r="B436" s="30"/>
    </row>
    <row r="437" spans="2:2">
      <c r="B437" s="30"/>
    </row>
    <row r="438" spans="2:2">
      <c r="B438" s="30"/>
    </row>
    <row r="439" spans="2:2">
      <c r="B439" s="30"/>
    </row>
    <row r="440" spans="2:2">
      <c r="B440" s="30"/>
    </row>
    <row r="441" spans="2:2">
      <c r="B441" s="30"/>
    </row>
    <row r="442" spans="2:2">
      <c r="B442" s="30"/>
    </row>
    <row r="443" spans="2:2">
      <c r="B443" s="30"/>
    </row>
    <row r="444" spans="2:2">
      <c r="B444" s="30"/>
    </row>
    <row r="445" spans="2:2">
      <c r="B445" s="30"/>
    </row>
    <row r="446" spans="2:2">
      <c r="B446" s="30"/>
    </row>
    <row r="447" spans="2:2">
      <c r="B447" s="30"/>
    </row>
    <row r="448" spans="2:2">
      <c r="B448" s="30"/>
    </row>
    <row r="449" spans="2:2">
      <c r="B449" s="30"/>
    </row>
    <row r="450" spans="2:2">
      <c r="B450" s="30"/>
    </row>
    <row r="451" spans="2:2">
      <c r="B451" s="30"/>
    </row>
    <row r="452" spans="2:2">
      <c r="B452" s="30"/>
    </row>
    <row r="453" spans="2:2">
      <c r="B453" s="30"/>
    </row>
    <row r="454" spans="2:2">
      <c r="B454" s="30"/>
    </row>
    <row r="455" spans="2:2">
      <c r="B455" s="30"/>
    </row>
    <row r="456" spans="2:2">
      <c r="B456" s="30"/>
    </row>
    <row r="457" spans="2:2">
      <c r="B457" s="30"/>
    </row>
    <row r="458" spans="2:2">
      <c r="B458" s="30"/>
    </row>
    <row r="459" spans="2:2">
      <c r="B459" s="30"/>
    </row>
    <row r="460" spans="2:2">
      <c r="B460" s="30"/>
    </row>
    <row r="461" spans="2:2">
      <c r="B461" s="30"/>
    </row>
    <row r="462" spans="2:2">
      <c r="B462" s="30"/>
    </row>
    <row r="463" spans="2:2">
      <c r="B463" s="30"/>
    </row>
    <row r="464" spans="2:2">
      <c r="B464" s="30"/>
    </row>
    <row r="465" spans="2:2">
      <c r="B465" s="30"/>
    </row>
    <row r="466" spans="2:2">
      <c r="B466" s="30"/>
    </row>
    <row r="467" spans="2:2">
      <c r="B467" s="30"/>
    </row>
    <row r="468" spans="2:2">
      <c r="B468" s="30"/>
    </row>
    <row r="469" spans="2:2">
      <c r="B469" s="30"/>
    </row>
    <row r="470" spans="2:2">
      <c r="B470" s="30"/>
    </row>
    <row r="471" spans="2:2">
      <c r="B471" s="30"/>
    </row>
    <row r="472" spans="2:2">
      <c r="B472" s="30"/>
    </row>
    <row r="473" spans="2:2">
      <c r="B473" s="30"/>
    </row>
    <row r="474" spans="2:2">
      <c r="B474" s="30"/>
    </row>
    <row r="475" spans="2:2">
      <c r="B475" s="30"/>
    </row>
    <row r="476" spans="2:2">
      <c r="B476" s="30"/>
    </row>
    <row r="477" spans="2:2">
      <c r="B477" s="30"/>
    </row>
    <row r="478" spans="2:2">
      <c r="B478" s="30"/>
    </row>
    <row r="479" spans="2:2">
      <c r="B479" s="30"/>
    </row>
    <row r="480" spans="2:2">
      <c r="B480" s="30"/>
    </row>
    <row r="481" spans="2:2">
      <c r="B481" s="30"/>
    </row>
    <row r="482" spans="2:2">
      <c r="B482" s="30"/>
    </row>
    <row r="483" spans="2:2">
      <c r="B483" s="30"/>
    </row>
    <row r="484" spans="2:2">
      <c r="B484" s="30"/>
    </row>
    <row r="485" spans="2:2">
      <c r="B485" s="30"/>
    </row>
    <row r="486" spans="2:2">
      <c r="B486" s="30"/>
    </row>
    <row r="487" spans="2:2">
      <c r="B487" s="30"/>
    </row>
    <row r="488" spans="2:2">
      <c r="B488" s="30"/>
    </row>
    <row r="489" spans="2:2">
      <c r="B489" s="30"/>
    </row>
    <row r="490" spans="2:2">
      <c r="B490" s="30"/>
    </row>
    <row r="491" spans="2:2">
      <c r="B491" s="30"/>
    </row>
    <row r="492" spans="2:2">
      <c r="B492" s="30"/>
    </row>
    <row r="493" spans="2:2">
      <c r="B493" s="30"/>
    </row>
    <row r="494" spans="2:2">
      <c r="B494" s="30"/>
    </row>
    <row r="495" spans="2:2">
      <c r="B495" s="30"/>
    </row>
    <row r="496" spans="2:2">
      <c r="B496" s="30"/>
    </row>
    <row r="497" spans="2:2">
      <c r="B497" s="30"/>
    </row>
    <row r="498" spans="2:2">
      <c r="B498" s="30"/>
    </row>
    <row r="499" spans="2:2">
      <c r="B499" s="30"/>
    </row>
    <row r="500" spans="2:2">
      <c r="B500" s="30"/>
    </row>
    <row r="501" spans="2:2">
      <c r="B501" s="30"/>
    </row>
    <row r="502" spans="2:2">
      <c r="B502" s="30"/>
    </row>
    <row r="503" spans="2:2">
      <c r="B503" s="30"/>
    </row>
    <row r="504" spans="2:2">
      <c r="B504" s="30"/>
    </row>
    <row r="505" spans="2:2">
      <c r="B505" s="30"/>
    </row>
    <row r="506" spans="2:2">
      <c r="B506" s="30"/>
    </row>
    <row r="507" spans="2:2">
      <c r="B507" s="30"/>
    </row>
    <row r="508" spans="2:2">
      <c r="B508" s="30"/>
    </row>
    <row r="509" spans="2:2">
      <c r="B509" s="30"/>
    </row>
    <row r="510" spans="2:2">
      <c r="B510" s="30"/>
    </row>
    <row r="511" spans="2:2">
      <c r="B511" s="30"/>
    </row>
    <row r="512" spans="2:2">
      <c r="B512" s="30"/>
    </row>
    <row r="513" spans="2:2">
      <c r="B513" s="30"/>
    </row>
    <row r="514" spans="2:2">
      <c r="B514" s="30"/>
    </row>
    <row r="515" spans="2:2">
      <c r="B515" s="30"/>
    </row>
    <row r="516" spans="2:2">
      <c r="B516" s="30"/>
    </row>
    <row r="517" spans="2:2">
      <c r="B517" s="30"/>
    </row>
    <row r="518" spans="2:2">
      <c r="B518" s="30"/>
    </row>
    <row r="519" spans="2:2">
      <c r="B519" s="30"/>
    </row>
    <row r="520" spans="2:2">
      <c r="B520" s="30"/>
    </row>
    <row r="521" spans="2:2">
      <c r="B521" s="30"/>
    </row>
    <row r="522" spans="2:2">
      <c r="B522" s="30"/>
    </row>
    <row r="523" spans="2:2">
      <c r="B523" s="30"/>
    </row>
    <row r="524" spans="2:2">
      <c r="B524" s="30"/>
    </row>
    <row r="525" spans="2:2">
      <c r="B525" s="30"/>
    </row>
    <row r="526" spans="2:2">
      <c r="B526" s="30"/>
    </row>
    <row r="527" spans="2:2">
      <c r="B527" s="30"/>
    </row>
    <row r="528" spans="2:2">
      <c r="B528" s="30"/>
    </row>
    <row r="529" spans="2:2">
      <c r="B529" s="30"/>
    </row>
    <row r="530" spans="2:2">
      <c r="B530" s="30"/>
    </row>
    <row r="531" spans="2:2">
      <c r="B531" s="30"/>
    </row>
    <row r="532" spans="2:2">
      <c r="B532" s="30"/>
    </row>
    <row r="533" spans="2:2">
      <c r="B533" s="30"/>
    </row>
    <row r="534" spans="2:2">
      <c r="B534" s="30"/>
    </row>
    <row r="535" spans="2:2">
      <c r="B535" s="30"/>
    </row>
    <row r="536" spans="2:2">
      <c r="B536" s="30"/>
    </row>
    <row r="537" spans="2:2">
      <c r="B537" s="30"/>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A91174-A493-4E53-84C3-B822A22C9326}">
  <dimension ref="A1:M501"/>
  <sheetViews>
    <sheetView topLeftCell="A85" workbookViewId="0">
      <selection activeCell="A2" sqref="A2"/>
    </sheetView>
  </sheetViews>
  <sheetFormatPr defaultRowHeight="15"/>
  <cols>
    <col min="11" max="11" width="16" bestFit="1" customWidth="1"/>
    <col min="12" max="12" width="14.7109375" bestFit="1" customWidth="1"/>
    <col min="13" max="13" width="11.42578125" bestFit="1" customWidth="1"/>
  </cols>
  <sheetData>
    <row r="1" spans="1:13" ht="15.75" thickBot="1">
      <c r="A1" s="24" t="s">
        <v>0</v>
      </c>
      <c r="B1" s="15" t="s">
        <v>665</v>
      </c>
      <c r="C1" s="14" t="s">
        <v>2</v>
      </c>
      <c r="D1" s="14" t="s">
        <v>3</v>
      </c>
    </row>
    <row r="2" spans="1:13" ht="15.75" thickTop="1">
      <c r="A2" s="12" t="s">
        <v>26</v>
      </c>
      <c r="B2" s="16" t="s">
        <v>668</v>
      </c>
      <c r="C2" s="12">
        <v>1</v>
      </c>
      <c r="D2" s="12">
        <v>37967</v>
      </c>
    </row>
    <row r="3" spans="1:13">
      <c r="A3" s="12" t="s">
        <v>26</v>
      </c>
      <c r="B3" s="17" t="s">
        <v>654</v>
      </c>
      <c r="C3" s="12">
        <v>5</v>
      </c>
      <c r="D3" s="12">
        <v>11247</v>
      </c>
      <c r="K3" s="3" t="s">
        <v>645</v>
      </c>
      <c r="L3" t="s">
        <v>647</v>
      </c>
      <c r="M3" t="s">
        <v>648</v>
      </c>
    </row>
    <row r="4" spans="1:13">
      <c r="A4" s="12" t="s">
        <v>16</v>
      </c>
      <c r="B4" s="16" t="s">
        <v>668</v>
      </c>
      <c r="C4" s="12">
        <v>5</v>
      </c>
      <c r="D4" s="12">
        <v>16393</v>
      </c>
      <c r="K4" s="4" t="s">
        <v>668</v>
      </c>
      <c r="L4">
        <v>321</v>
      </c>
      <c r="M4">
        <v>2933996</v>
      </c>
    </row>
    <row r="5" spans="1:13">
      <c r="A5" s="12" t="s">
        <v>10</v>
      </c>
      <c r="B5" s="17" t="s">
        <v>668</v>
      </c>
      <c r="C5" s="12">
        <v>3</v>
      </c>
      <c r="D5" s="12">
        <v>45821</v>
      </c>
      <c r="K5" s="5" t="s">
        <v>16</v>
      </c>
      <c r="L5">
        <v>16</v>
      </c>
      <c r="M5">
        <v>121122</v>
      </c>
    </row>
    <row r="6" spans="1:13">
      <c r="A6" s="12" t="s">
        <v>12</v>
      </c>
      <c r="B6" s="16" t="s">
        <v>654</v>
      </c>
      <c r="C6" s="12">
        <v>4</v>
      </c>
      <c r="D6" s="12">
        <v>22075</v>
      </c>
      <c r="K6" s="5" t="s">
        <v>55</v>
      </c>
      <c r="L6">
        <v>26</v>
      </c>
      <c r="M6">
        <v>311878</v>
      </c>
    </row>
    <row r="7" spans="1:13">
      <c r="A7" s="12" t="s">
        <v>12</v>
      </c>
      <c r="B7" s="17" t="s">
        <v>668</v>
      </c>
      <c r="C7" s="12">
        <v>5</v>
      </c>
      <c r="D7" s="12">
        <v>42377</v>
      </c>
      <c r="K7" s="5" t="s">
        <v>105</v>
      </c>
      <c r="L7">
        <v>15</v>
      </c>
      <c r="M7">
        <v>130429</v>
      </c>
    </row>
    <row r="8" spans="1:13">
      <c r="A8" s="12" t="s">
        <v>13</v>
      </c>
      <c r="B8" s="16" t="s">
        <v>668</v>
      </c>
      <c r="C8" s="12">
        <v>1</v>
      </c>
      <c r="D8" s="12">
        <v>21701</v>
      </c>
      <c r="K8" s="5" t="s">
        <v>15</v>
      </c>
      <c r="L8">
        <v>26</v>
      </c>
      <c r="M8">
        <v>231187</v>
      </c>
    </row>
    <row r="9" spans="1:13">
      <c r="A9" s="12" t="s">
        <v>15</v>
      </c>
      <c r="B9" s="17" t="s">
        <v>669</v>
      </c>
      <c r="C9" s="12">
        <v>2</v>
      </c>
      <c r="D9" s="12">
        <v>46987</v>
      </c>
      <c r="K9" s="5" t="s">
        <v>26</v>
      </c>
      <c r="L9">
        <v>30</v>
      </c>
      <c r="M9">
        <v>277097</v>
      </c>
    </row>
    <row r="10" spans="1:13">
      <c r="A10" s="12" t="s">
        <v>26</v>
      </c>
      <c r="B10" s="16" t="s">
        <v>670</v>
      </c>
      <c r="C10" s="12">
        <v>5</v>
      </c>
      <c r="D10" s="12">
        <v>30497</v>
      </c>
      <c r="K10" s="5" t="s">
        <v>6</v>
      </c>
      <c r="L10">
        <v>30</v>
      </c>
      <c r="M10">
        <v>232262</v>
      </c>
    </row>
    <row r="11" spans="1:13">
      <c r="A11" s="12" t="s">
        <v>52</v>
      </c>
      <c r="B11" s="17" t="s">
        <v>671</v>
      </c>
      <c r="C11" s="12">
        <v>1</v>
      </c>
      <c r="D11" s="12">
        <v>47360</v>
      </c>
      <c r="K11" s="5" t="s">
        <v>79</v>
      </c>
      <c r="L11">
        <v>35</v>
      </c>
      <c r="M11">
        <v>264645</v>
      </c>
    </row>
    <row r="12" spans="1:13">
      <c r="A12" s="12" t="s">
        <v>55</v>
      </c>
      <c r="B12" s="16" t="s">
        <v>654</v>
      </c>
      <c r="C12" s="12">
        <v>4</v>
      </c>
      <c r="D12" s="12">
        <v>44317</v>
      </c>
      <c r="K12" s="5" t="s">
        <v>12</v>
      </c>
      <c r="L12">
        <v>39</v>
      </c>
      <c r="M12">
        <v>278178</v>
      </c>
    </row>
    <row r="13" spans="1:13">
      <c r="A13" s="12" t="s">
        <v>59</v>
      </c>
      <c r="B13" s="17" t="s">
        <v>669</v>
      </c>
      <c r="C13" s="12">
        <v>3</v>
      </c>
      <c r="D13" s="12">
        <v>35810</v>
      </c>
      <c r="K13" s="5" t="s">
        <v>10</v>
      </c>
      <c r="L13">
        <v>34</v>
      </c>
      <c r="M13">
        <v>376242</v>
      </c>
    </row>
    <row r="14" spans="1:13">
      <c r="A14" s="12" t="s">
        <v>16</v>
      </c>
      <c r="B14" s="16" t="s">
        <v>668</v>
      </c>
      <c r="C14" s="12">
        <v>1</v>
      </c>
      <c r="D14" s="12">
        <v>48794</v>
      </c>
      <c r="K14" s="5" t="s">
        <v>59</v>
      </c>
      <c r="L14">
        <v>20</v>
      </c>
      <c r="M14">
        <v>211604</v>
      </c>
    </row>
    <row r="15" spans="1:13">
      <c r="A15" s="12" t="s">
        <v>12</v>
      </c>
      <c r="B15" s="17" t="s">
        <v>669</v>
      </c>
      <c r="C15" s="12">
        <v>4</v>
      </c>
      <c r="D15" s="12">
        <v>30177</v>
      </c>
      <c r="K15" s="5" t="s">
        <v>52</v>
      </c>
      <c r="L15">
        <v>29</v>
      </c>
      <c r="M15">
        <v>260499</v>
      </c>
    </row>
    <row r="16" spans="1:13">
      <c r="A16" s="12" t="s">
        <v>12</v>
      </c>
      <c r="B16" s="16" t="s">
        <v>669</v>
      </c>
      <c r="C16" s="12">
        <v>4</v>
      </c>
      <c r="D16" s="12">
        <v>9100</v>
      </c>
      <c r="K16" s="5" t="s">
        <v>13</v>
      </c>
      <c r="L16">
        <v>21</v>
      </c>
      <c r="M16">
        <v>238853</v>
      </c>
    </row>
    <row r="17" spans="1:13">
      <c r="A17" s="12" t="s">
        <v>12</v>
      </c>
      <c r="B17" s="17" t="s">
        <v>670</v>
      </c>
      <c r="C17" s="12">
        <v>1</v>
      </c>
      <c r="D17" s="12">
        <v>20457</v>
      </c>
      <c r="K17" s="4" t="s">
        <v>670</v>
      </c>
      <c r="L17">
        <v>227</v>
      </c>
      <c r="M17">
        <v>1952929</v>
      </c>
    </row>
    <row r="18" spans="1:13">
      <c r="A18" s="12" t="s">
        <v>26</v>
      </c>
      <c r="B18" s="16" t="s">
        <v>671</v>
      </c>
      <c r="C18" s="12">
        <v>4</v>
      </c>
      <c r="D18" s="12">
        <v>20772</v>
      </c>
      <c r="K18" s="5" t="s">
        <v>16</v>
      </c>
      <c r="L18">
        <v>14</v>
      </c>
      <c r="M18">
        <v>150230</v>
      </c>
    </row>
    <row r="19" spans="1:13">
      <c r="A19" s="12" t="s">
        <v>6</v>
      </c>
      <c r="B19" s="17" t="s">
        <v>670</v>
      </c>
      <c r="C19" s="12">
        <v>1</v>
      </c>
      <c r="D19" s="12">
        <v>24756</v>
      </c>
      <c r="K19" s="5" t="s">
        <v>55</v>
      </c>
      <c r="L19">
        <v>19</v>
      </c>
      <c r="M19">
        <v>137443</v>
      </c>
    </row>
    <row r="20" spans="1:13">
      <c r="A20" s="12" t="s">
        <v>52</v>
      </c>
      <c r="B20" s="16" t="s">
        <v>654</v>
      </c>
      <c r="C20" s="12">
        <v>4</v>
      </c>
      <c r="D20" s="12">
        <v>43683</v>
      </c>
      <c r="K20" s="5" t="s">
        <v>105</v>
      </c>
      <c r="L20">
        <v>18</v>
      </c>
      <c r="M20">
        <v>181558</v>
      </c>
    </row>
    <row r="21" spans="1:13">
      <c r="A21" s="12" t="s">
        <v>79</v>
      </c>
      <c r="B21" s="17" t="s">
        <v>671</v>
      </c>
      <c r="C21" s="12">
        <v>2</v>
      </c>
      <c r="D21" s="12">
        <v>11207</v>
      </c>
      <c r="K21" s="5" t="s">
        <v>15</v>
      </c>
      <c r="L21">
        <v>26</v>
      </c>
      <c r="M21">
        <v>157067</v>
      </c>
    </row>
    <row r="22" spans="1:13">
      <c r="A22" s="12" t="s">
        <v>6</v>
      </c>
      <c r="B22" s="16" t="s">
        <v>671</v>
      </c>
      <c r="C22" s="12">
        <v>5</v>
      </c>
      <c r="D22" s="12">
        <v>8723</v>
      </c>
      <c r="K22" s="5" t="s">
        <v>26</v>
      </c>
      <c r="L22">
        <v>16</v>
      </c>
      <c r="M22">
        <v>142057</v>
      </c>
    </row>
    <row r="23" spans="1:13">
      <c r="A23" s="12" t="s">
        <v>79</v>
      </c>
      <c r="B23" s="17" t="s">
        <v>672</v>
      </c>
      <c r="C23" s="12">
        <v>4</v>
      </c>
      <c r="D23" s="12">
        <v>14367</v>
      </c>
      <c r="K23" s="5" t="s">
        <v>6</v>
      </c>
      <c r="L23">
        <v>28</v>
      </c>
      <c r="M23">
        <v>284376</v>
      </c>
    </row>
    <row r="24" spans="1:13">
      <c r="A24" s="12" t="s">
        <v>55</v>
      </c>
      <c r="B24" s="16" t="s">
        <v>668</v>
      </c>
      <c r="C24" s="12">
        <v>1</v>
      </c>
      <c r="D24" s="12">
        <v>35805</v>
      </c>
      <c r="K24" s="5" t="s">
        <v>79</v>
      </c>
      <c r="L24">
        <v>15</v>
      </c>
      <c r="M24">
        <v>155454</v>
      </c>
    </row>
    <row r="25" spans="1:13">
      <c r="A25" s="12" t="s">
        <v>16</v>
      </c>
      <c r="B25" s="17" t="s">
        <v>671</v>
      </c>
      <c r="C25" s="12">
        <v>1</v>
      </c>
      <c r="D25" s="12">
        <v>39399</v>
      </c>
      <c r="K25" s="5" t="s">
        <v>12</v>
      </c>
      <c r="L25">
        <v>26</v>
      </c>
      <c r="M25">
        <v>209510</v>
      </c>
    </row>
    <row r="26" spans="1:13">
      <c r="A26" s="12" t="s">
        <v>10</v>
      </c>
      <c r="B26" s="16" t="s">
        <v>671</v>
      </c>
      <c r="C26" s="12">
        <v>3</v>
      </c>
      <c r="D26" s="12">
        <v>14586</v>
      </c>
      <c r="K26" s="5" t="s">
        <v>10</v>
      </c>
      <c r="L26">
        <v>4</v>
      </c>
      <c r="M26">
        <v>53250</v>
      </c>
    </row>
    <row r="27" spans="1:13">
      <c r="A27" s="12" t="s">
        <v>79</v>
      </c>
      <c r="B27" s="17" t="s">
        <v>668</v>
      </c>
      <c r="C27" s="12">
        <v>4</v>
      </c>
      <c r="D27" s="12">
        <v>6968</v>
      </c>
      <c r="K27" s="5" t="s">
        <v>59</v>
      </c>
      <c r="L27">
        <v>23</v>
      </c>
      <c r="M27">
        <v>232467</v>
      </c>
    </row>
    <row r="28" spans="1:13">
      <c r="A28" s="12" t="s">
        <v>12</v>
      </c>
      <c r="B28" s="16" t="s">
        <v>654</v>
      </c>
      <c r="C28" s="12">
        <v>4</v>
      </c>
      <c r="D28" s="12">
        <v>46523</v>
      </c>
      <c r="K28" s="5" t="s">
        <v>52</v>
      </c>
      <c r="L28">
        <v>30</v>
      </c>
      <c r="M28">
        <v>179434</v>
      </c>
    </row>
    <row r="29" spans="1:13">
      <c r="A29" s="12" t="s">
        <v>12</v>
      </c>
      <c r="B29" s="17" t="s">
        <v>672</v>
      </c>
      <c r="C29" s="12">
        <v>4</v>
      </c>
      <c r="D29" s="12">
        <v>46272</v>
      </c>
      <c r="K29" s="5" t="s">
        <v>13</v>
      </c>
      <c r="L29">
        <v>8</v>
      </c>
      <c r="M29">
        <v>70083</v>
      </c>
    </row>
    <row r="30" spans="1:13">
      <c r="A30" s="12" t="s">
        <v>26</v>
      </c>
      <c r="B30" s="16" t="s">
        <v>668</v>
      </c>
      <c r="C30" s="12">
        <v>1</v>
      </c>
      <c r="D30" s="12">
        <v>25538</v>
      </c>
      <c r="K30" s="4" t="s">
        <v>669</v>
      </c>
      <c r="L30">
        <v>278</v>
      </c>
      <c r="M30">
        <v>2072827</v>
      </c>
    </row>
    <row r="31" spans="1:13">
      <c r="A31" s="12" t="s">
        <v>15</v>
      </c>
      <c r="B31" s="17" t="s">
        <v>671</v>
      </c>
      <c r="C31" s="12">
        <v>5</v>
      </c>
      <c r="D31" s="12">
        <v>13923</v>
      </c>
      <c r="K31" s="5" t="s">
        <v>16</v>
      </c>
      <c r="L31">
        <v>12</v>
      </c>
      <c r="M31">
        <v>121531</v>
      </c>
    </row>
    <row r="32" spans="1:13">
      <c r="A32" s="12" t="s">
        <v>26</v>
      </c>
      <c r="B32" s="16" t="s">
        <v>654</v>
      </c>
      <c r="C32" s="12">
        <v>4</v>
      </c>
      <c r="D32" s="12">
        <v>45484</v>
      </c>
      <c r="K32" s="5" t="s">
        <v>55</v>
      </c>
      <c r="L32">
        <v>18</v>
      </c>
      <c r="M32">
        <v>117214</v>
      </c>
    </row>
    <row r="33" spans="1:13">
      <c r="A33" s="12" t="s">
        <v>6</v>
      </c>
      <c r="B33" s="17" t="s">
        <v>669</v>
      </c>
      <c r="C33" s="12">
        <v>3</v>
      </c>
      <c r="D33" s="12">
        <v>37574</v>
      </c>
      <c r="K33" s="5" t="s">
        <v>105</v>
      </c>
      <c r="L33">
        <v>7</v>
      </c>
      <c r="M33">
        <v>85966</v>
      </c>
    </row>
    <row r="34" spans="1:13">
      <c r="A34" s="12" t="s">
        <v>105</v>
      </c>
      <c r="B34" s="16" t="s">
        <v>670</v>
      </c>
      <c r="C34" s="12">
        <v>2</v>
      </c>
      <c r="D34" s="12">
        <v>10351</v>
      </c>
      <c r="K34" s="5" t="s">
        <v>15</v>
      </c>
      <c r="L34">
        <v>16</v>
      </c>
      <c r="M34">
        <v>187329</v>
      </c>
    </row>
    <row r="35" spans="1:13">
      <c r="A35" s="12" t="s">
        <v>12</v>
      </c>
      <c r="B35" s="17" t="s">
        <v>669</v>
      </c>
      <c r="C35" s="12">
        <v>5</v>
      </c>
      <c r="D35" s="12">
        <v>555</v>
      </c>
      <c r="K35" s="5" t="s">
        <v>26</v>
      </c>
      <c r="L35">
        <v>17</v>
      </c>
      <c r="M35">
        <v>94792</v>
      </c>
    </row>
    <row r="36" spans="1:13">
      <c r="A36" s="12" t="s">
        <v>79</v>
      </c>
      <c r="B36" s="16" t="s">
        <v>668</v>
      </c>
      <c r="C36" s="12">
        <v>4</v>
      </c>
      <c r="D36" s="12">
        <v>37257</v>
      </c>
      <c r="K36" s="5" t="s">
        <v>6</v>
      </c>
      <c r="L36">
        <v>35</v>
      </c>
      <c r="M36">
        <v>282565</v>
      </c>
    </row>
    <row r="37" spans="1:13">
      <c r="A37" s="12" t="s">
        <v>16</v>
      </c>
      <c r="B37" s="17" t="s">
        <v>669</v>
      </c>
      <c r="C37" s="12">
        <v>1</v>
      </c>
      <c r="D37" s="12">
        <v>17907</v>
      </c>
      <c r="K37" s="5" t="s">
        <v>79</v>
      </c>
      <c r="L37">
        <v>33</v>
      </c>
      <c r="M37">
        <v>262705</v>
      </c>
    </row>
    <row r="38" spans="1:13">
      <c r="A38" s="12" t="s">
        <v>26</v>
      </c>
      <c r="B38" s="16" t="s">
        <v>654</v>
      </c>
      <c r="C38" s="12">
        <v>2</v>
      </c>
      <c r="D38" s="12">
        <v>10369</v>
      </c>
      <c r="K38" s="5" t="s">
        <v>12</v>
      </c>
      <c r="L38">
        <v>26</v>
      </c>
      <c r="M38">
        <v>142901</v>
      </c>
    </row>
    <row r="39" spans="1:13">
      <c r="A39" s="12" t="s">
        <v>6</v>
      </c>
      <c r="B39" s="17" t="s">
        <v>669</v>
      </c>
      <c r="C39" s="12">
        <v>5</v>
      </c>
      <c r="D39" s="12">
        <v>309</v>
      </c>
      <c r="K39" s="5" t="s">
        <v>10</v>
      </c>
      <c r="L39">
        <v>32</v>
      </c>
      <c r="M39">
        <v>145482</v>
      </c>
    </row>
    <row r="40" spans="1:13">
      <c r="A40" s="12" t="s">
        <v>26</v>
      </c>
      <c r="B40" s="16" t="s">
        <v>668</v>
      </c>
      <c r="C40" s="12">
        <v>1</v>
      </c>
      <c r="D40" s="12">
        <v>6167</v>
      </c>
      <c r="K40" s="5" t="s">
        <v>59</v>
      </c>
      <c r="L40">
        <v>22</v>
      </c>
      <c r="M40">
        <v>183940</v>
      </c>
    </row>
    <row r="41" spans="1:13">
      <c r="A41" s="12" t="s">
        <v>105</v>
      </c>
      <c r="B41" s="17" t="s">
        <v>672</v>
      </c>
      <c r="C41" s="12">
        <v>1</v>
      </c>
      <c r="D41" s="12">
        <v>8344</v>
      </c>
      <c r="K41" s="5" t="s">
        <v>52</v>
      </c>
      <c r="L41">
        <v>28</v>
      </c>
      <c r="M41">
        <v>226186</v>
      </c>
    </row>
    <row r="42" spans="1:13">
      <c r="A42" s="12" t="s">
        <v>105</v>
      </c>
      <c r="B42" s="16" t="s">
        <v>668</v>
      </c>
      <c r="C42" s="12">
        <v>2</v>
      </c>
      <c r="D42" s="12">
        <v>19996</v>
      </c>
      <c r="K42" s="5" t="s">
        <v>13</v>
      </c>
      <c r="L42">
        <v>32</v>
      </c>
      <c r="M42">
        <v>222216</v>
      </c>
    </row>
    <row r="43" spans="1:13">
      <c r="A43" s="12" t="s">
        <v>10</v>
      </c>
      <c r="B43" s="17" t="s">
        <v>670</v>
      </c>
      <c r="C43" s="12">
        <v>2</v>
      </c>
      <c r="D43" s="12">
        <v>4486</v>
      </c>
      <c r="K43" s="4" t="s">
        <v>671</v>
      </c>
      <c r="L43">
        <v>231</v>
      </c>
      <c r="M43">
        <v>2230832</v>
      </c>
    </row>
    <row r="44" spans="1:13">
      <c r="A44" s="12" t="s">
        <v>15</v>
      </c>
      <c r="B44" s="16" t="s">
        <v>671</v>
      </c>
      <c r="C44" s="12">
        <v>4</v>
      </c>
      <c r="D44" s="12">
        <v>19193</v>
      </c>
      <c r="K44" s="5" t="s">
        <v>16</v>
      </c>
      <c r="L44">
        <v>7</v>
      </c>
      <c r="M44">
        <v>138713</v>
      </c>
    </row>
    <row r="45" spans="1:13">
      <c r="A45" s="12" t="s">
        <v>26</v>
      </c>
      <c r="B45" s="17" t="s">
        <v>668</v>
      </c>
      <c r="C45" s="12">
        <v>1</v>
      </c>
      <c r="D45" s="12">
        <v>33480</v>
      </c>
      <c r="K45" s="5" t="s">
        <v>55</v>
      </c>
      <c r="L45">
        <v>15</v>
      </c>
      <c r="M45">
        <v>175400</v>
      </c>
    </row>
    <row r="46" spans="1:13">
      <c r="A46" s="12" t="s">
        <v>26</v>
      </c>
      <c r="B46" s="16" t="s">
        <v>654</v>
      </c>
      <c r="C46" s="12">
        <v>1</v>
      </c>
      <c r="D46" s="12">
        <v>19700</v>
      </c>
      <c r="K46" s="5" t="s">
        <v>105</v>
      </c>
      <c r="L46">
        <v>10</v>
      </c>
      <c r="M46">
        <v>85620</v>
      </c>
    </row>
    <row r="47" spans="1:13">
      <c r="A47" s="12" t="s">
        <v>52</v>
      </c>
      <c r="B47" s="17" t="s">
        <v>668</v>
      </c>
      <c r="C47" s="12">
        <v>2</v>
      </c>
      <c r="D47" s="12">
        <v>23862</v>
      </c>
      <c r="K47" s="5" t="s">
        <v>15</v>
      </c>
      <c r="L47">
        <v>38</v>
      </c>
      <c r="M47">
        <v>215937</v>
      </c>
    </row>
    <row r="48" spans="1:13">
      <c r="A48" s="12" t="s">
        <v>15</v>
      </c>
      <c r="B48" s="16" t="s">
        <v>671</v>
      </c>
      <c r="C48" s="12">
        <v>4</v>
      </c>
      <c r="D48" s="12">
        <v>15755</v>
      </c>
      <c r="K48" s="5" t="s">
        <v>26</v>
      </c>
      <c r="L48">
        <v>14</v>
      </c>
      <c r="M48">
        <v>116245</v>
      </c>
    </row>
    <row r="49" spans="1:13">
      <c r="A49" s="12" t="s">
        <v>105</v>
      </c>
      <c r="B49" s="17" t="s">
        <v>654</v>
      </c>
      <c r="C49" s="12">
        <v>2</v>
      </c>
      <c r="D49" s="12">
        <v>11393</v>
      </c>
      <c r="K49" s="5" t="s">
        <v>6</v>
      </c>
      <c r="L49">
        <v>18</v>
      </c>
      <c r="M49">
        <v>174324</v>
      </c>
    </row>
    <row r="50" spans="1:13">
      <c r="A50" s="12" t="s">
        <v>52</v>
      </c>
      <c r="B50" s="16" t="s">
        <v>669</v>
      </c>
      <c r="C50" s="12">
        <v>5</v>
      </c>
      <c r="D50" s="12">
        <v>24310</v>
      </c>
      <c r="K50" s="5" t="s">
        <v>79</v>
      </c>
      <c r="L50">
        <v>18</v>
      </c>
      <c r="M50">
        <v>242386</v>
      </c>
    </row>
    <row r="51" spans="1:13">
      <c r="A51" s="12" t="s">
        <v>13</v>
      </c>
      <c r="B51" s="17" t="s">
        <v>669</v>
      </c>
      <c r="C51" s="12">
        <v>4</v>
      </c>
      <c r="D51" s="12">
        <v>27576</v>
      </c>
      <c r="K51" s="5" t="s">
        <v>12</v>
      </c>
      <c r="L51">
        <v>43</v>
      </c>
      <c r="M51">
        <v>354895</v>
      </c>
    </row>
    <row r="52" spans="1:13">
      <c r="A52" s="12" t="s">
        <v>15</v>
      </c>
      <c r="B52" s="16" t="s">
        <v>668</v>
      </c>
      <c r="C52" s="12">
        <v>5</v>
      </c>
      <c r="D52" s="12">
        <v>32482</v>
      </c>
      <c r="K52" s="5" t="s">
        <v>10</v>
      </c>
      <c r="L52">
        <v>27</v>
      </c>
      <c r="M52">
        <v>277932</v>
      </c>
    </row>
    <row r="53" spans="1:13">
      <c r="A53" s="12" t="s">
        <v>105</v>
      </c>
      <c r="B53" s="17" t="s">
        <v>671</v>
      </c>
      <c r="C53" s="12">
        <v>2</v>
      </c>
      <c r="D53" s="12">
        <v>29579</v>
      </c>
      <c r="K53" s="5" t="s">
        <v>59</v>
      </c>
      <c r="L53">
        <v>12</v>
      </c>
      <c r="M53">
        <v>111297</v>
      </c>
    </row>
    <row r="54" spans="1:13">
      <c r="A54" s="12" t="s">
        <v>26</v>
      </c>
      <c r="B54" s="16" t="s">
        <v>654</v>
      </c>
      <c r="C54" s="12">
        <v>4</v>
      </c>
      <c r="D54" s="12">
        <v>14304</v>
      </c>
      <c r="K54" s="5" t="s">
        <v>52</v>
      </c>
      <c r="L54">
        <v>15</v>
      </c>
      <c r="M54">
        <v>196649</v>
      </c>
    </row>
    <row r="55" spans="1:13">
      <c r="A55" s="12" t="s">
        <v>59</v>
      </c>
      <c r="B55" s="17" t="s">
        <v>654</v>
      </c>
      <c r="C55" s="12">
        <v>4</v>
      </c>
      <c r="D55" s="12">
        <v>24084</v>
      </c>
      <c r="K55" s="5" t="s">
        <v>13</v>
      </c>
      <c r="L55">
        <v>14</v>
      </c>
      <c r="M55">
        <v>141434</v>
      </c>
    </row>
    <row r="56" spans="1:13">
      <c r="A56" s="12" t="s">
        <v>79</v>
      </c>
      <c r="B56" s="16" t="s">
        <v>668</v>
      </c>
      <c r="C56" s="12">
        <v>4</v>
      </c>
      <c r="D56" s="12">
        <v>15006</v>
      </c>
      <c r="K56" s="4" t="s">
        <v>654</v>
      </c>
      <c r="L56">
        <v>300</v>
      </c>
      <c r="M56">
        <v>2366519</v>
      </c>
    </row>
    <row r="57" spans="1:13">
      <c r="A57" s="12" t="s">
        <v>52</v>
      </c>
      <c r="B57" s="17" t="s">
        <v>672</v>
      </c>
      <c r="C57" s="12">
        <v>5</v>
      </c>
      <c r="D57" s="12">
        <v>14464</v>
      </c>
      <c r="K57" s="5" t="s">
        <v>16</v>
      </c>
      <c r="L57">
        <v>13</v>
      </c>
      <c r="M57">
        <v>193497</v>
      </c>
    </row>
    <row r="58" spans="1:13">
      <c r="A58" s="12" t="s">
        <v>6</v>
      </c>
      <c r="B58" s="16" t="s">
        <v>671</v>
      </c>
      <c r="C58" s="12">
        <v>1</v>
      </c>
      <c r="D58" s="12">
        <v>9542</v>
      </c>
      <c r="K58" s="5" t="s">
        <v>55</v>
      </c>
      <c r="L58">
        <v>30</v>
      </c>
      <c r="M58">
        <v>286465</v>
      </c>
    </row>
    <row r="59" spans="1:13">
      <c r="A59" s="12" t="s">
        <v>13</v>
      </c>
      <c r="B59" s="17" t="s">
        <v>671</v>
      </c>
      <c r="C59" s="12">
        <v>4</v>
      </c>
      <c r="D59" s="12">
        <v>31312</v>
      </c>
      <c r="K59" s="5" t="s">
        <v>105</v>
      </c>
      <c r="L59">
        <v>23</v>
      </c>
      <c r="M59">
        <v>110015</v>
      </c>
    </row>
    <row r="60" spans="1:13">
      <c r="A60" s="12" t="s">
        <v>52</v>
      </c>
      <c r="B60" s="16" t="s">
        <v>669</v>
      </c>
      <c r="C60" s="12">
        <v>5</v>
      </c>
      <c r="D60" s="12">
        <v>33598</v>
      </c>
      <c r="K60" s="5" t="s">
        <v>15</v>
      </c>
      <c r="L60">
        <v>35</v>
      </c>
      <c r="M60">
        <v>289050</v>
      </c>
    </row>
    <row r="61" spans="1:13">
      <c r="A61" s="12" t="s">
        <v>16</v>
      </c>
      <c r="B61" s="17" t="s">
        <v>668</v>
      </c>
      <c r="C61" s="12">
        <v>2</v>
      </c>
      <c r="D61" s="12">
        <v>31551</v>
      </c>
      <c r="K61" s="5" t="s">
        <v>26</v>
      </c>
      <c r="L61">
        <v>29</v>
      </c>
      <c r="M61">
        <v>274567</v>
      </c>
    </row>
    <row r="62" spans="1:13">
      <c r="A62" s="12" t="s">
        <v>6</v>
      </c>
      <c r="B62" s="16" t="s">
        <v>671</v>
      </c>
      <c r="C62" s="12">
        <v>1</v>
      </c>
      <c r="D62" s="12">
        <v>18514</v>
      </c>
      <c r="K62" s="5" t="s">
        <v>6</v>
      </c>
      <c r="L62">
        <v>32</v>
      </c>
      <c r="M62">
        <v>169670</v>
      </c>
    </row>
    <row r="63" spans="1:13">
      <c r="A63" s="12" t="s">
        <v>6</v>
      </c>
      <c r="B63" s="17" t="s">
        <v>668</v>
      </c>
      <c r="C63" s="12">
        <v>4</v>
      </c>
      <c r="D63" s="12">
        <v>18315</v>
      </c>
      <c r="K63" s="5" t="s">
        <v>79</v>
      </c>
      <c r="L63">
        <v>23</v>
      </c>
      <c r="M63">
        <v>148840</v>
      </c>
    </row>
    <row r="64" spans="1:13">
      <c r="A64" s="12" t="s">
        <v>15</v>
      </c>
      <c r="B64" s="16" t="s">
        <v>654</v>
      </c>
      <c r="C64" s="12">
        <v>4</v>
      </c>
      <c r="D64" s="12">
        <v>16870</v>
      </c>
      <c r="K64" s="5" t="s">
        <v>12</v>
      </c>
      <c r="L64">
        <v>31</v>
      </c>
      <c r="M64">
        <v>253803</v>
      </c>
    </row>
    <row r="65" spans="1:13">
      <c r="A65" s="12" t="s">
        <v>12</v>
      </c>
      <c r="B65" s="17" t="s">
        <v>654</v>
      </c>
      <c r="C65" s="12">
        <v>4</v>
      </c>
      <c r="D65" s="12">
        <v>32194</v>
      </c>
      <c r="K65" s="5" t="s">
        <v>10</v>
      </c>
      <c r="L65">
        <v>17</v>
      </c>
      <c r="M65">
        <v>128653</v>
      </c>
    </row>
    <row r="66" spans="1:13">
      <c r="A66" s="12" t="s">
        <v>26</v>
      </c>
      <c r="B66" s="16" t="s">
        <v>668</v>
      </c>
      <c r="C66" s="12">
        <v>5</v>
      </c>
      <c r="D66" s="12">
        <v>14896</v>
      </c>
      <c r="K66" s="5" t="s">
        <v>59</v>
      </c>
      <c r="L66">
        <v>22</v>
      </c>
      <c r="M66">
        <v>136796</v>
      </c>
    </row>
    <row r="67" spans="1:13">
      <c r="A67" s="12" t="s">
        <v>59</v>
      </c>
      <c r="B67" s="17" t="s">
        <v>672</v>
      </c>
      <c r="C67" s="12">
        <v>1</v>
      </c>
      <c r="D67" s="12">
        <v>38925</v>
      </c>
      <c r="K67" s="5" t="s">
        <v>52</v>
      </c>
      <c r="L67">
        <v>35</v>
      </c>
      <c r="M67">
        <v>278210</v>
      </c>
    </row>
    <row r="68" spans="1:13">
      <c r="A68" s="12" t="s">
        <v>12</v>
      </c>
      <c r="B68" s="16" t="s">
        <v>654</v>
      </c>
      <c r="C68" s="12">
        <v>1</v>
      </c>
      <c r="D68" s="12">
        <v>34963</v>
      </c>
      <c r="K68" s="5" t="s">
        <v>13</v>
      </c>
      <c r="L68">
        <v>10</v>
      </c>
      <c r="M68">
        <v>96953</v>
      </c>
    </row>
    <row r="69" spans="1:13">
      <c r="A69" s="12" t="s">
        <v>15</v>
      </c>
      <c r="B69" s="17" t="s">
        <v>671</v>
      </c>
      <c r="C69" s="12">
        <v>3</v>
      </c>
      <c r="D69" s="12">
        <v>22367</v>
      </c>
      <c r="K69" s="4" t="s">
        <v>672</v>
      </c>
      <c r="L69">
        <v>151</v>
      </c>
      <c r="M69">
        <v>1293153</v>
      </c>
    </row>
    <row r="70" spans="1:13">
      <c r="A70" s="12" t="s">
        <v>55</v>
      </c>
      <c r="B70" s="16" t="s">
        <v>654</v>
      </c>
      <c r="C70" s="12">
        <v>1</v>
      </c>
      <c r="D70" s="12">
        <v>21314</v>
      </c>
      <c r="K70" s="5" t="s">
        <v>16</v>
      </c>
      <c r="L70">
        <v>21</v>
      </c>
      <c r="M70">
        <v>195628</v>
      </c>
    </row>
    <row r="71" spans="1:13">
      <c r="A71" s="12" t="s">
        <v>55</v>
      </c>
      <c r="B71" s="17" t="s">
        <v>669</v>
      </c>
      <c r="C71" s="12">
        <v>5</v>
      </c>
      <c r="D71" s="12">
        <v>36276</v>
      </c>
      <c r="K71" s="5" t="s">
        <v>55</v>
      </c>
      <c r="L71">
        <v>6</v>
      </c>
      <c r="M71">
        <v>56014</v>
      </c>
    </row>
    <row r="72" spans="1:13">
      <c r="A72" s="12" t="s">
        <v>16</v>
      </c>
      <c r="B72" s="16" t="s">
        <v>670</v>
      </c>
      <c r="C72" s="12">
        <v>3</v>
      </c>
      <c r="D72" s="12">
        <v>32923</v>
      </c>
      <c r="K72" s="5" t="s">
        <v>105</v>
      </c>
      <c r="L72">
        <v>27</v>
      </c>
      <c r="M72">
        <v>109421</v>
      </c>
    </row>
    <row r="73" spans="1:13">
      <c r="A73" s="12" t="s">
        <v>12</v>
      </c>
      <c r="B73" s="17" t="s">
        <v>671</v>
      </c>
      <c r="C73" s="12">
        <v>4</v>
      </c>
      <c r="D73" s="12">
        <v>11944</v>
      </c>
      <c r="K73" s="5" t="s">
        <v>15</v>
      </c>
      <c r="L73">
        <v>11</v>
      </c>
      <c r="M73">
        <v>154109</v>
      </c>
    </row>
    <row r="74" spans="1:13">
      <c r="A74" s="12" t="s">
        <v>55</v>
      </c>
      <c r="B74" s="16" t="s">
        <v>671</v>
      </c>
      <c r="C74" s="12">
        <v>3</v>
      </c>
      <c r="D74" s="12">
        <v>32183</v>
      </c>
      <c r="K74" s="5" t="s">
        <v>26</v>
      </c>
      <c r="L74">
        <v>6</v>
      </c>
      <c r="M74">
        <v>78791</v>
      </c>
    </row>
    <row r="75" spans="1:13">
      <c r="A75" s="12" t="s">
        <v>12</v>
      </c>
      <c r="B75" s="17" t="s">
        <v>671</v>
      </c>
      <c r="C75" s="12">
        <v>3</v>
      </c>
      <c r="D75" s="12">
        <v>48487</v>
      </c>
      <c r="K75" s="5" t="s">
        <v>6</v>
      </c>
      <c r="L75">
        <v>11</v>
      </c>
      <c r="M75">
        <v>115296</v>
      </c>
    </row>
    <row r="76" spans="1:13">
      <c r="A76" s="12" t="s">
        <v>79</v>
      </c>
      <c r="B76" s="16" t="s">
        <v>671</v>
      </c>
      <c r="C76" s="12">
        <v>1</v>
      </c>
      <c r="D76" s="12">
        <v>36031</v>
      </c>
      <c r="K76" s="5" t="s">
        <v>79</v>
      </c>
      <c r="L76">
        <v>13</v>
      </c>
      <c r="M76">
        <v>159925</v>
      </c>
    </row>
    <row r="77" spans="1:13">
      <c r="A77" s="12" t="s">
        <v>55</v>
      </c>
      <c r="B77" s="17" t="s">
        <v>671</v>
      </c>
      <c r="C77" s="12">
        <v>1</v>
      </c>
      <c r="D77" s="12">
        <v>34071</v>
      </c>
      <c r="K77" s="5" t="s">
        <v>12</v>
      </c>
      <c r="L77">
        <v>13</v>
      </c>
      <c r="M77">
        <v>122276</v>
      </c>
    </row>
    <row r="78" spans="1:13">
      <c r="A78" s="12" t="s">
        <v>59</v>
      </c>
      <c r="B78" s="16" t="s">
        <v>672</v>
      </c>
      <c r="C78" s="12">
        <v>4</v>
      </c>
      <c r="D78" s="12">
        <v>9944</v>
      </c>
      <c r="K78" s="5" t="s">
        <v>10</v>
      </c>
      <c r="L78">
        <v>5</v>
      </c>
      <c r="M78">
        <v>30365</v>
      </c>
    </row>
    <row r="79" spans="1:13">
      <c r="A79" s="12" t="s">
        <v>10</v>
      </c>
      <c r="B79" s="17" t="s">
        <v>654</v>
      </c>
      <c r="C79" s="12">
        <v>2</v>
      </c>
      <c r="D79" s="12">
        <v>18459</v>
      </c>
      <c r="K79" s="5" t="s">
        <v>59</v>
      </c>
      <c r="L79">
        <v>12</v>
      </c>
      <c r="M79">
        <v>126808</v>
      </c>
    </row>
    <row r="80" spans="1:13">
      <c r="A80" s="12" t="s">
        <v>13</v>
      </c>
      <c r="B80" s="16" t="s">
        <v>672</v>
      </c>
      <c r="C80" s="12">
        <v>5</v>
      </c>
      <c r="D80" s="12">
        <v>23844</v>
      </c>
      <c r="K80" s="5" t="s">
        <v>52</v>
      </c>
      <c r="L80">
        <v>15</v>
      </c>
      <c r="M80">
        <v>75054</v>
      </c>
    </row>
    <row r="81" spans="1:13">
      <c r="A81" s="12" t="s">
        <v>16</v>
      </c>
      <c r="B81" s="17" t="s">
        <v>670</v>
      </c>
      <c r="C81" s="12">
        <v>1</v>
      </c>
      <c r="D81" s="12">
        <v>40471</v>
      </c>
      <c r="K81" s="5" t="s">
        <v>13</v>
      </c>
      <c r="L81">
        <v>11</v>
      </c>
      <c r="M81">
        <v>69466</v>
      </c>
    </row>
    <row r="82" spans="1:13">
      <c r="A82" s="12" t="s">
        <v>52</v>
      </c>
      <c r="B82" s="16" t="s">
        <v>671</v>
      </c>
      <c r="C82" s="12">
        <v>1</v>
      </c>
      <c r="D82" s="12">
        <v>46209</v>
      </c>
      <c r="K82" s="4" t="s">
        <v>646</v>
      </c>
      <c r="L82">
        <v>1508</v>
      </c>
      <c r="M82">
        <v>12850256</v>
      </c>
    </row>
    <row r="83" spans="1:13">
      <c r="A83" s="12" t="s">
        <v>6</v>
      </c>
      <c r="B83" s="17" t="s">
        <v>669</v>
      </c>
      <c r="C83" s="12">
        <v>1</v>
      </c>
      <c r="D83" s="12">
        <v>35696</v>
      </c>
    </row>
    <row r="84" spans="1:13">
      <c r="A84" s="12" t="s">
        <v>12</v>
      </c>
      <c r="B84" s="16" t="s">
        <v>668</v>
      </c>
      <c r="C84" s="12">
        <v>5</v>
      </c>
      <c r="D84" s="12">
        <v>3461</v>
      </c>
    </row>
    <row r="85" spans="1:13">
      <c r="A85" s="12" t="s">
        <v>10</v>
      </c>
      <c r="B85" s="17" t="s">
        <v>668</v>
      </c>
      <c r="C85" s="12">
        <v>5</v>
      </c>
      <c r="D85" s="12">
        <v>46388</v>
      </c>
    </row>
    <row r="86" spans="1:13">
      <c r="A86" s="12" t="s">
        <v>13</v>
      </c>
      <c r="B86" s="16" t="s">
        <v>671</v>
      </c>
      <c r="C86" s="12">
        <v>1</v>
      </c>
      <c r="D86" s="12">
        <v>33565</v>
      </c>
    </row>
    <row r="87" spans="1:13">
      <c r="A87" s="12" t="s">
        <v>15</v>
      </c>
      <c r="B87" s="17" t="s">
        <v>669</v>
      </c>
      <c r="C87" s="12">
        <v>5</v>
      </c>
      <c r="D87" s="12">
        <v>28257</v>
      </c>
    </row>
    <row r="88" spans="1:13">
      <c r="A88" s="12" t="s">
        <v>13</v>
      </c>
      <c r="B88" s="16" t="s">
        <v>668</v>
      </c>
      <c r="C88" s="12">
        <v>4</v>
      </c>
      <c r="D88" s="12">
        <v>46335</v>
      </c>
    </row>
    <row r="89" spans="1:13">
      <c r="A89" s="12" t="s">
        <v>13</v>
      </c>
      <c r="B89" s="17" t="s">
        <v>669</v>
      </c>
      <c r="C89" s="12">
        <v>3</v>
      </c>
      <c r="D89" s="12">
        <v>33267</v>
      </c>
    </row>
    <row r="90" spans="1:13">
      <c r="A90" s="12" t="s">
        <v>15</v>
      </c>
      <c r="B90" s="16" t="s">
        <v>668</v>
      </c>
      <c r="C90" s="12">
        <v>1</v>
      </c>
      <c r="D90" s="12">
        <v>29290</v>
      </c>
    </row>
    <row r="91" spans="1:13">
      <c r="A91" s="12" t="s">
        <v>59</v>
      </c>
      <c r="B91" s="17" t="s">
        <v>669</v>
      </c>
      <c r="C91" s="12">
        <v>3</v>
      </c>
      <c r="D91" s="12">
        <v>47354</v>
      </c>
    </row>
    <row r="92" spans="1:13">
      <c r="A92" s="12" t="s">
        <v>6</v>
      </c>
      <c r="B92" s="16" t="s">
        <v>671</v>
      </c>
      <c r="C92" s="12">
        <v>1</v>
      </c>
      <c r="D92" s="12">
        <v>26480</v>
      </c>
    </row>
    <row r="93" spans="1:13">
      <c r="A93" s="12" t="s">
        <v>52</v>
      </c>
      <c r="B93" s="17" t="s">
        <v>670</v>
      </c>
      <c r="C93" s="12">
        <v>1</v>
      </c>
      <c r="D93" s="12">
        <v>17191</v>
      </c>
    </row>
    <row r="94" spans="1:13">
      <c r="A94" s="12" t="s">
        <v>79</v>
      </c>
      <c r="B94" s="16" t="s">
        <v>671</v>
      </c>
      <c r="C94" s="12">
        <v>1</v>
      </c>
      <c r="D94" s="12">
        <v>47185</v>
      </c>
    </row>
    <row r="95" spans="1:13">
      <c r="A95" s="12" t="s">
        <v>6</v>
      </c>
      <c r="B95" s="17" t="s">
        <v>654</v>
      </c>
      <c r="C95" s="12">
        <v>5</v>
      </c>
      <c r="D95" s="12">
        <v>11172</v>
      </c>
    </row>
    <row r="96" spans="1:13">
      <c r="A96" s="12" t="s">
        <v>105</v>
      </c>
      <c r="B96" s="16" t="s">
        <v>672</v>
      </c>
      <c r="C96" s="12">
        <v>3</v>
      </c>
      <c r="D96" s="12">
        <v>2243</v>
      </c>
    </row>
    <row r="97" spans="1:4">
      <c r="A97" s="12" t="s">
        <v>26</v>
      </c>
      <c r="B97" s="17" t="s">
        <v>654</v>
      </c>
      <c r="C97" s="12">
        <v>1</v>
      </c>
      <c r="D97" s="12">
        <v>43083</v>
      </c>
    </row>
    <row r="98" spans="1:4">
      <c r="A98" s="12" t="s">
        <v>55</v>
      </c>
      <c r="B98" s="16" t="s">
        <v>671</v>
      </c>
      <c r="C98" s="12">
        <v>3</v>
      </c>
      <c r="D98" s="12">
        <v>34390</v>
      </c>
    </row>
    <row r="99" spans="1:4">
      <c r="A99" s="12" t="s">
        <v>10</v>
      </c>
      <c r="B99" s="17" t="s">
        <v>668</v>
      </c>
      <c r="C99" s="12">
        <v>4</v>
      </c>
      <c r="D99" s="12">
        <v>15607</v>
      </c>
    </row>
    <row r="100" spans="1:4">
      <c r="A100" s="12" t="s">
        <v>105</v>
      </c>
      <c r="B100" s="16" t="s">
        <v>670</v>
      </c>
      <c r="C100" s="12">
        <v>3</v>
      </c>
      <c r="D100" s="12">
        <v>43731</v>
      </c>
    </row>
    <row r="101" spans="1:4">
      <c r="A101" s="12" t="s">
        <v>79</v>
      </c>
      <c r="B101" s="17" t="s">
        <v>671</v>
      </c>
      <c r="C101" s="12">
        <v>5</v>
      </c>
      <c r="D101" s="12">
        <v>40517</v>
      </c>
    </row>
    <row r="102" spans="1:4">
      <c r="A102" s="12" t="s">
        <v>12</v>
      </c>
      <c r="B102" s="16" t="s">
        <v>669</v>
      </c>
      <c r="C102" s="12">
        <v>5</v>
      </c>
      <c r="D102" s="12">
        <v>35108</v>
      </c>
    </row>
    <row r="103" spans="1:4">
      <c r="A103" s="12" t="s">
        <v>105</v>
      </c>
      <c r="B103" s="17" t="s">
        <v>654</v>
      </c>
      <c r="C103" s="12">
        <v>2</v>
      </c>
      <c r="D103" s="12">
        <v>23237</v>
      </c>
    </row>
    <row r="104" spans="1:4">
      <c r="A104" s="12" t="s">
        <v>26</v>
      </c>
      <c r="B104" s="16" t="s">
        <v>669</v>
      </c>
      <c r="C104" s="12">
        <v>5</v>
      </c>
      <c r="D104" s="12">
        <v>16211</v>
      </c>
    </row>
    <row r="105" spans="1:4">
      <c r="A105" s="12" t="s">
        <v>79</v>
      </c>
      <c r="B105" s="17" t="s">
        <v>670</v>
      </c>
      <c r="C105" s="12">
        <v>4</v>
      </c>
      <c r="D105" s="12">
        <v>28117</v>
      </c>
    </row>
    <row r="106" spans="1:4">
      <c r="A106" s="12" t="s">
        <v>52</v>
      </c>
      <c r="B106" s="16" t="s">
        <v>668</v>
      </c>
      <c r="C106" s="12">
        <v>1</v>
      </c>
      <c r="D106" s="12">
        <v>42459</v>
      </c>
    </row>
    <row r="107" spans="1:4">
      <c r="A107" s="12" t="s">
        <v>79</v>
      </c>
      <c r="B107" s="17" t="s">
        <v>672</v>
      </c>
      <c r="C107" s="12">
        <v>1</v>
      </c>
      <c r="D107" s="12">
        <v>39282</v>
      </c>
    </row>
    <row r="108" spans="1:4">
      <c r="A108" s="12" t="s">
        <v>10</v>
      </c>
      <c r="B108" s="16" t="s">
        <v>669</v>
      </c>
      <c r="C108" s="12">
        <v>5</v>
      </c>
      <c r="D108" s="12">
        <v>29569</v>
      </c>
    </row>
    <row r="109" spans="1:4">
      <c r="A109" s="12" t="s">
        <v>12</v>
      </c>
      <c r="B109" s="17" t="s">
        <v>669</v>
      </c>
      <c r="C109" s="12">
        <v>3</v>
      </c>
      <c r="D109" s="12">
        <v>48814</v>
      </c>
    </row>
    <row r="110" spans="1:4">
      <c r="A110" s="12" t="s">
        <v>6</v>
      </c>
      <c r="B110" s="16" t="s">
        <v>668</v>
      </c>
      <c r="C110" s="12">
        <v>3</v>
      </c>
      <c r="D110" s="12">
        <v>40787</v>
      </c>
    </row>
    <row r="111" spans="1:4">
      <c r="A111" s="12" t="s">
        <v>16</v>
      </c>
      <c r="B111" s="17" t="s">
        <v>672</v>
      </c>
      <c r="C111" s="12">
        <v>1</v>
      </c>
      <c r="D111" s="12">
        <v>46257</v>
      </c>
    </row>
    <row r="112" spans="1:4">
      <c r="A112" s="12" t="s">
        <v>10</v>
      </c>
      <c r="B112" s="16" t="s">
        <v>668</v>
      </c>
      <c r="C112" s="12">
        <v>1</v>
      </c>
      <c r="D112" s="12">
        <v>36881</v>
      </c>
    </row>
    <row r="113" spans="1:4">
      <c r="A113" s="12" t="s">
        <v>55</v>
      </c>
      <c r="B113" s="17" t="s">
        <v>668</v>
      </c>
      <c r="C113" s="12">
        <v>2</v>
      </c>
      <c r="D113" s="12">
        <v>43634</v>
      </c>
    </row>
    <row r="114" spans="1:4">
      <c r="A114" s="12" t="s">
        <v>55</v>
      </c>
      <c r="B114" s="16" t="s">
        <v>668</v>
      </c>
      <c r="C114" s="12">
        <v>1</v>
      </c>
      <c r="D114" s="12">
        <v>45054</v>
      </c>
    </row>
    <row r="115" spans="1:4">
      <c r="A115" s="12" t="s">
        <v>105</v>
      </c>
      <c r="B115" s="17" t="s">
        <v>671</v>
      </c>
      <c r="C115" s="12">
        <v>1</v>
      </c>
      <c r="D115" s="12">
        <v>45609</v>
      </c>
    </row>
    <row r="116" spans="1:4">
      <c r="A116" s="12" t="s">
        <v>6</v>
      </c>
      <c r="B116" s="16" t="s">
        <v>672</v>
      </c>
      <c r="C116" s="12">
        <v>2</v>
      </c>
      <c r="D116" s="12">
        <v>18322</v>
      </c>
    </row>
    <row r="117" spans="1:4">
      <c r="A117" s="12" t="s">
        <v>10</v>
      </c>
      <c r="B117" s="17" t="s">
        <v>669</v>
      </c>
      <c r="C117" s="12">
        <v>5</v>
      </c>
      <c r="D117" s="12">
        <v>36240</v>
      </c>
    </row>
    <row r="118" spans="1:4">
      <c r="A118" s="12" t="s">
        <v>26</v>
      </c>
      <c r="B118" s="16" t="s">
        <v>668</v>
      </c>
      <c r="C118" s="12">
        <v>4</v>
      </c>
      <c r="D118" s="12">
        <v>43933</v>
      </c>
    </row>
    <row r="119" spans="1:4">
      <c r="A119" s="12" t="s">
        <v>15</v>
      </c>
      <c r="B119" s="17" t="s">
        <v>671</v>
      </c>
      <c r="C119" s="12">
        <v>5</v>
      </c>
      <c r="D119" s="12">
        <v>19691</v>
      </c>
    </row>
    <row r="120" spans="1:4">
      <c r="A120" s="12" t="s">
        <v>26</v>
      </c>
      <c r="B120" s="16" t="s">
        <v>654</v>
      </c>
      <c r="C120" s="12">
        <v>5</v>
      </c>
      <c r="D120" s="12">
        <v>49645</v>
      </c>
    </row>
    <row r="121" spans="1:4">
      <c r="A121" s="12" t="s">
        <v>6</v>
      </c>
      <c r="B121" s="17" t="s">
        <v>668</v>
      </c>
      <c r="C121" s="12">
        <v>1</v>
      </c>
      <c r="D121" s="12">
        <v>3412</v>
      </c>
    </row>
    <row r="122" spans="1:4">
      <c r="A122" s="12" t="s">
        <v>59</v>
      </c>
      <c r="B122" s="16" t="s">
        <v>671</v>
      </c>
      <c r="C122" s="12">
        <v>2</v>
      </c>
      <c r="D122" s="12">
        <v>38909</v>
      </c>
    </row>
    <row r="123" spans="1:4">
      <c r="A123" s="12" t="s">
        <v>15</v>
      </c>
      <c r="B123" s="17" t="s">
        <v>654</v>
      </c>
      <c r="C123" s="12">
        <v>2</v>
      </c>
      <c r="D123" s="12">
        <v>43951</v>
      </c>
    </row>
    <row r="124" spans="1:4">
      <c r="A124" s="12" t="s">
        <v>26</v>
      </c>
      <c r="B124" s="16" t="s">
        <v>672</v>
      </c>
      <c r="C124" s="12">
        <v>3</v>
      </c>
      <c r="D124" s="12">
        <v>31306</v>
      </c>
    </row>
    <row r="125" spans="1:4">
      <c r="A125" s="12" t="s">
        <v>13</v>
      </c>
      <c r="B125" s="17" t="s">
        <v>670</v>
      </c>
      <c r="C125" s="12">
        <v>2</v>
      </c>
      <c r="D125" s="12">
        <v>27497</v>
      </c>
    </row>
    <row r="126" spans="1:4">
      <c r="A126" s="12" t="s">
        <v>52</v>
      </c>
      <c r="B126" s="16" t="s">
        <v>668</v>
      </c>
      <c r="C126" s="12">
        <v>5</v>
      </c>
      <c r="D126" s="12">
        <v>6932</v>
      </c>
    </row>
    <row r="127" spans="1:4">
      <c r="A127" s="12" t="s">
        <v>55</v>
      </c>
      <c r="B127" s="17" t="s">
        <v>672</v>
      </c>
      <c r="C127" s="12">
        <v>4</v>
      </c>
      <c r="D127" s="12">
        <v>8703</v>
      </c>
    </row>
    <row r="128" spans="1:4">
      <c r="A128" s="12" t="s">
        <v>12</v>
      </c>
      <c r="B128" s="16" t="s">
        <v>669</v>
      </c>
      <c r="C128" s="12">
        <v>2</v>
      </c>
      <c r="D128" s="12">
        <v>11062</v>
      </c>
    </row>
    <row r="129" spans="1:4">
      <c r="A129" s="12" t="s">
        <v>26</v>
      </c>
      <c r="B129" s="17" t="s">
        <v>670</v>
      </c>
      <c r="C129" s="12">
        <v>4</v>
      </c>
      <c r="D129" s="12">
        <v>22139</v>
      </c>
    </row>
    <row r="130" spans="1:4">
      <c r="A130" s="12" t="s">
        <v>16</v>
      </c>
      <c r="B130" s="16" t="s">
        <v>671</v>
      </c>
      <c r="C130" s="12">
        <v>1</v>
      </c>
      <c r="D130" s="12">
        <v>33490</v>
      </c>
    </row>
    <row r="131" spans="1:4">
      <c r="A131" s="12" t="s">
        <v>79</v>
      </c>
      <c r="B131" s="17" t="s">
        <v>670</v>
      </c>
      <c r="C131" s="12">
        <v>2</v>
      </c>
      <c r="D131" s="12">
        <v>17751</v>
      </c>
    </row>
    <row r="132" spans="1:4">
      <c r="A132" s="12" t="s">
        <v>79</v>
      </c>
      <c r="B132" s="16" t="s">
        <v>669</v>
      </c>
      <c r="C132" s="12">
        <v>2</v>
      </c>
      <c r="D132" s="12">
        <v>25309</v>
      </c>
    </row>
    <row r="133" spans="1:4">
      <c r="A133" s="12" t="s">
        <v>79</v>
      </c>
      <c r="B133" s="17" t="s">
        <v>654</v>
      </c>
      <c r="C133" s="12">
        <v>3</v>
      </c>
      <c r="D133" s="12">
        <v>35889</v>
      </c>
    </row>
    <row r="134" spans="1:4">
      <c r="A134" s="12" t="s">
        <v>79</v>
      </c>
      <c r="B134" s="16" t="s">
        <v>669</v>
      </c>
      <c r="C134" s="12">
        <v>2</v>
      </c>
      <c r="D134" s="12">
        <v>1518</v>
      </c>
    </row>
    <row r="135" spans="1:4">
      <c r="A135" s="12" t="s">
        <v>105</v>
      </c>
      <c r="B135" s="17" t="s">
        <v>672</v>
      </c>
      <c r="C135" s="12">
        <v>3</v>
      </c>
      <c r="D135" s="12">
        <v>6705</v>
      </c>
    </row>
    <row r="136" spans="1:4">
      <c r="A136" s="12" t="s">
        <v>26</v>
      </c>
      <c r="B136" s="16" t="s">
        <v>668</v>
      </c>
      <c r="C136" s="12">
        <v>1</v>
      </c>
      <c r="D136" s="12">
        <v>32012</v>
      </c>
    </row>
    <row r="137" spans="1:4">
      <c r="A137" s="12" t="s">
        <v>12</v>
      </c>
      <c r="B137" s="17" t="s">
        <v>671</v>
      </c>
      <c r="C137" s="12">
        <v>5</v>
      </c>
      <c r="D137" s="12">
        <v>42348</v>
      </c>
    </row>
    <row r="138" spans="1:4">
      <c r="A138" s="12" t="s">
        <v>10</v>
      </c>
      <c r="B138" s="16" t="s">
        <v>669</v>
      </c>
      <c r="C138" s="12">
        <v>5</v>
      </c>
      <c r="D138" s="12">
        <v>11626</v>
      </c>
    </row>
    <row r="139" spans="1:4">
      <c r="A139" s="12" t="s">
        <v>6</v>
      </c>
      <c r="B139" s="17" t="s">
        <v>668</v>
      </c>
      <c r="C139" s="12">
        <v>5</v>
      </c>
      <c r="D139" s="12">
        <v>47452</v>
      </c>
    </row>
    <row r="140" spans="1:4">
      <c r="A140" s="12" t="s">
        <v>15</v>
      </c>
      <c r="B140" s="16" t="s">
        <v>671</v>
      </c>
      <c r="C140" s="12">
        <v>1</v>
      </c>
      <c r="D140" s="12">
        <v>27899</v>
      </c>
    </row>
    <row r="141" spans="1:4">
      <c r="A141" s="12" t="s">
        <v>16</v>
      </c>
      <c r="B141" s="17" t="s">
        <v>668</v>
      </c>
      <c r="C141" s="12">
        <v>2</v>
      </c>
      <c r="D141" s="12">
        <v>4810</v>
      </c>
    </row>
    <row r="142" spans="1:4">
      <c r="A142" s="12" t="s">
        <v>79</v>
      </c>
      <c r="B142" s="16" t="s">
        <v>654</v>
      </c>
      <c r="C142" s="12">
        <v>5</v>
      </c>
      <c r="D142" s="12">
        <v>35459</v>
      </c>
    </row>
    <row r="143" spans="1:4">
      <c r="A143" s="12" t="s">
        <v>15</v>
      </c>
      <c r="B143" s="17" t="s">
        <v>670</v>
      </c>
      <c r="C143" s="12">
        <v>5</v>
      </c>
      <c r="D143" s="12">
        <v>24947</v>
      </c>
    </row>
    <row r="144" spans="1:4">
      <c r="A144" s="12" t="s">
        <v>52</v>
      </c>
      <c r="B144" s="16" t="s">
        <v>670</v>
      </c>
      <c r="C144" s="12">
        <v>4</v>
      </c>
      <c r="D144" s="12">
        <v>12790</v>
      </c>
    </row>
    <row r="145" spans="1:4">
      <c r="A145" s="12" t="s">
        <v>52</v>
      </c>
      <c r="B145" s="17" t="s">
        <v>654</v>
      </c>
      <c r="C145" s="12">
        <v>3</v>
      </c>
      <c r="D145" s="12">
        <v>32850</v>
      </c>
    </row>
    <row r="146" spans="1:4">
      <c r="A146" s="12" t="s">
        <v>10</v>
      </c>
      <c r="B146" s="16" t="s">
        <v>668</v>
      </c>
      <c r="C146" s="12">
        <v>5</v>
      </c>
      <c r="D146" s="12">
        <v>45465</v>
      </c>
    </row>
    <row r="147" spans="1:4">
      <c r="A147" s="12" t="s">
        <v>10</v>
      </c>
      <c r="B147" s="17" t="s">
        <v>669</v>
      </c>
      <c r="C147" s="12">
        <v>1</v>
      </c>
      <c r="D147" s="12">
        <v>3693</v>
      </c>
    </row>
    <row r="148" spans="1:4">
      <c r="A148" s="12" t="s">
        <v>105</v>
      </c>
      <c r="B148" s="16" t="s">
        <v>670</v>
      </c>
      <c r="C148" s="12">
        <v>3</v>
      </c>
      <c r="D148" s="12">
        <v>25476</v>
      </c>
    </row>
    <row r="149" spans="1:4">
      <c r="A149" s="12" t="s">
        <v>16</v>
      </c>
      <c r="B149" s="17" t="s">
        <v>671</v>
      </c>
      <c r="C149" s="12">
        <v>3</v>
      </c>
      <c r="D149" s="12">
        <v>26710</v>
      </c>
    </row>
    <row r="150" spans="1:4">
      <c r="A150" s="12" t="s">
        <v>16</v>
      </c>
      <c r="B150" s="16" t="s">
        <v>671</v>
      </c>
      <c r="C150" s="12">
        <v>1</v>
      </c>
      <c r="D150" s="12">
        <v>10366</v>
      </c>
    </row>
    <row r="151" spans="1:4">
      <c r="A151" s="12" t="s">
        <v>55</v>
      </c>
      <c r="B151" s="17" t="s">
        <v>654</v>
      </c>
      <c r="C151" s="12">
        <v>5</v>
      </c>
      <c r="D151" s="12">
        <v>12842</v>
      </c>
    </row>
    <row r="152" spans="1:4">
      <c r="A152" s="12" t="s">
        <v>52</v>
      </c>
      <c r="B152" s="16" t="s">
        <v>668</v>
      </c>
      <c r="C152" s="12">
        <v>5</v>
      </c>
      <c r="D152" s="12">
        <v>28267</v>
      </c>
    </row>
    <row r="153" spans="1:4">
      <c r="A153" s="12" t="s">
        <v>13</v>
      </c>
      <c r="B153" s="17" t="s">
        <v>654</v>
      </c>
      <c r="C153" s="12">
        <v>5</v>
      </c>
      <c r="D153" s="12">
        <v>37424</v>
      </c>
    </row>
    <row r="154" spans="1:4">
      <c r="A154" s="12" t="s">
        <v>16</v>
      </c>
      <c r="B154" s="16" t="s">
        <v>654</v>
      </c>
      <c r="C154" s="12">
        <v>4</v>
      </c>
      <c r="D154" s="12">
        <v>30382</v>
      </c>
    </row>
    <row r="155" spans="1:4">
      <c r="A155" s="12" t="s">
        <v>10</v>
      </c>
      <c r="B155" s="17" t="s">
        <v>667</v>
      </c>
      <c r="C155" s="12">
        <v>1</v>
      </c>
      <c r="D155" s="12">
        <v>11357</v>
      </c>
    </row>
    <row r="156" spans="1:4">
      <c r="A156" s="12" t="s">
        <v>55</v>
      </c>
      <c r="B156" s="16" t="s">
        <v>663</v>
      </c>
      <c r="C156" s="12">
        <v>5</v>
      </c>
      <c r="D156" s="12">
        <v>44894</v>
      </c>
    </row>
    <row r="157" spans="1:4">
      <c r="A157" s="12" t="s">
        <v>10</v>
      </c>
      <c r="B157" s="17" t="s">
        <v>673</v>
      </c>
      <c r="C157" s="12">
        <v>4</v>
      </c>
      <c r="D157" s="12">
        <v>23378</v>
      </c>
    </row>
    <row r="158" spans="1:4">
      <c r="A158" s="12" t="s">
        <v>13</v>
      </c>
      <c r="B158" s="16" t="s">
        <v>673</v>
      </c>
      <c r="C158" s="12">
        <v>3</v>
      </c>
      <c r="D158" s="12">
        <v>21470</v>
      </c>
    </row>
    <row r="159" spans="1:4">
      <c r="A159" s="12" t="s">
        <v>6</v>
      </c>
      <c r="B159" s="17" t="s">
        <v>667</v>
      </c>
      <c r="C159" s="12">
        <v>1</v>
      </c>
      <c r="D159" s="12">
        <v>38690</v>
      </c>
    </row>
    <row r="160" spans="1:4">
      <c r="A160" s="12" t="s">
        <v>59</v>
      </c>
      <c r="B160" s="16" t="s">
        <v>674</v>
      </c>
      <c r="C160" s="12">
        <v>3</v>
      </c>
      <c r="D160" s="12">
        <v>35794</v>
      </c>
    </row>
    <row r="161" spans="1:4">
      <c r="A161" s="12" t="s">
        <v>26</v>
      </c>
      <c r="B161" s="17" t="s">
        <v>673</v>
      </c>
      <c r="C161" s="12">
        <v>4</v>
      </c>
      <c r="D161" s="12">
        <v>2214</v>
      </c>
    </row>
    <row r="162" spans="1:4">
      <c r="A162" s="12" t="s">
        <v>79</v>
      </c>
      <c r="B162" s="16" t="s">
        <v>675</v>
      </c>
      <c r="C162" s="12">
        <v>1</v>
      </c>
      <c r="D162" s="12">
        <v>11817</v>
      </c>
    </row>
    <row r="163" spans="1:4">
      <c r="A163" s="12" t="s">
        <v>13</v>
      </c>
      <c r="B163" s="17" t="s">
        <v>663</v>
      </c>
      <c r="C163" s="12">
        <v>1</v>
      </c>
      <c r="D163" s="12">
        <v>5848</v>
      </c>
    </row>
    <row r="164" spans="1:4">
      <c r="A164" s="12" t="s">
        <v>26</v>
      </c>
      <c r="B164" s="16" t="s">
        <v>675</v>
      </c>
      <c r="C164" s="12">
        <v>1</v>
      </c>
      <c r="D164" s="12">
        <v>44117</v>
      </c>
    </row>
    <row r="165" spans="1:4">
      <c r="A165" s="12" t="s">
        <v>6</v>
      </c>
      <c r="B165" s="17" t="s">
        <v>668</v>
      </c>
      <c r="C165" s="12">
        <v>2</v>
      </c>
      <c r="D165" s="12">
        <v>6367</v>
      </c>
    </row>
    <row r="166" spans="1:4">
      <c r="A166" s="12" t="s">
        <v>105</v>
      </c>
      <c r="B166" s="16" t="s">
        <v>668</v>
      </c>
      <c r="C166" s="12">
        <v>5</v>
      </c>
      <c r="D166" s="12">
        <v>41666</v>
      </c>
    </row>
    <row r="167" spans="1:4">
      <c r="A167" s="12" t="s">
        <v>12</v>
      </c>
      <c r="B167" s="17" t="s">
        <v>672</v>
      </c>
      <c r="C167" s="12">
        <v>2</v>
      </c>
      <c r="D167" s="12">
        <v>29899</v>
      </c>
    </row>
    <row r="168" spans="1:4">
      <c r="A168" s="12" t="s">
        <v>59</v>
      </c>
      <c r="B168" s="16" t="s">
        <v>673</v>
      </c>
      <c r="C168" s="12">
        <v>2</v>
      </c>
      <c r="D168" s="12">
        <v>2785</v>
      </c>
    </row>
    <row r="169" spans="1:4">
      <c r="A169" s="12" t="s">
        <v>52</v>
      </c>
      <c r="B169" s="17" t="s">
        <v>674</v>
      </c>
      <c r="C169" s="12">
        <v>4</v>
      </c>
      <c r="D169" s="12">
        <v>42113</v>
      </c>
    </row>
    <row r="170" spans="1:4">
      <c r="A170" s="12" t="s">
        <v>26</v>
      </c>
      <c r="B170" s="16" t="s">
        <v>668</v>
      </c>
      <c r="C170" s="12">
        <v>4</v>
      </c>
      <c r="D170" s="12">
        <v>1740</v>
      </c>
    </row>
    <row r="171" spans="1:4">
      <c r="A171" s="12" t="s">
        <v>6</v>
      </c>
      <c r="B171" s="17" t="s">
        <v>669</v>
      </c>
      <c r="C171" s="12">
        <v>1</v>
      </c>
      <c r="D171" s="12">
        <v>41097</v>
      </c>
    </row>
    <row r="172" spans="1:4">
      <c r="A172" s="12" t="s">
        <v>59</v>
      </c>
      <c r="B172" s="16" t="s">
        <v>670</v>
      </c>
      <c r="C172" s="12">
        <v>1</v>
      </c>
      <c r="D172" s="12">
        <v>3170</v>
      </c>
    </row>
    <row r="173" spans="1:4">
      <c r="A173" s="12" t="s">
        <v>10</v>
      </c>
      <c r="B173" s="17" t="s">
        <v>670</v>
      </c>
      <c r="C173" s="12">
        <v>2</v>
      </c>
      <c r="D173" s="12">
        <v>48764</v>
      </c>
    </row>
    <row r="174" spans="1:4">
      <c r="A174" s="12" t="s">
        <v>59</v>
      </c>
      <c r="B174" s="16" t="s">
        <v>676</v>
      </c>
      <c r="C174" s="12">
        <v>4</v>
      </c>
      <c r="D174" s="12">
        <v>39735</v>
      </c>
    </row>
    <row r="175" spans="1:4">
      <c r="A175" s="12" t="s">
        <v>79</v>
      </c>
      <c r="B175" s="17" t="s">
        <v>670</v>
      </c>
      <c r="C175" s="12">
        <v>4</v>
      </c>
      <c r="D175" s="12">
        <v>16399</v>
      </c>
    </row>
    <row r="176" spans="1:4">
      <c r="A176" s="12" t="s">
        <v>79</v>
      </c>
      <c r="B176" s="16" t="s">
        <v>673</v>
      </c>
      <c r="C176" s="12">
        <v>3</v>
      </c>
      <c r="D176" s="12">
        <v>37990</v>
      </c>
    </row>
    <row r="177" spans="1:4">
      <c r="A177" s="12" t="s">
        <v>13</v>
      </c>
      <c r="B177" s="7" t="s">
        <v>673</v>
      </c>
      <c r="C177" s="12">
        <v>3</v>
      </c>
      <c r="D177" s="12">
        <v>20917</v>
      </c>
    </row>
    <row r="178" spans="1:4">
      <c r="A178" s="12" t="s">
        <v>12</v>
      </c>
      <c r="B178" s="6" t="s">
        <v>675</v>
      </c>
      <c r="C178" s="12">
        <v>4</v>
      </c>
      <c r="D178" s="12">
        <v>18775</v>
      </c>
    </row>
    <row r="179" spans="1:4">
      <c r="A179" s="12" t="s">
        <v>15</v>
      </c>
      <c r="B179" s="7" t="s">
        <v>663</v>
      </c>
      <c r="C179" s="12">
        <v>4</v>
      </c>
      <c r="D179" s="12">
        <v>38072</v>
      </c>
    </row>
    <row r="180" spans="1:4">
      <c r="A180" s="12" t="s">
        <v>105</v>
      </c>
      <c r="B180" s="6" t="s">
        <v>675</v>
      </c>
      <c r="C180" s="12">
        <v>2</v>
      </c>
      <c r="D180" s="12">
        <v>16837</v>
      </c>
    </row>
    <row r="181" spans="1:4">
      <c r="A181" s="12" t="s">
        <v>12</v>
      </c>
      <c r="B181" s="7" t="s">
        <v>670</v>
      </c>
      <c r="C181" s="12">
        <v>5</v>
      </c>
      <c r="D181" s="12">
        <v>29355</v>
      </c>
    </row>
    <row r="182" spans="1:4">
      <c r="A182" s="12" t="s">
        <v>13</v>
      </c>
      <c r="B182" s="6" t="s">
        <v>671</v>
      </c>
      <c r="C182" s="12">
        <v>1</v>
      </c>
      <c r="D182" s="12">
        <v>45235</v>
      </c>
    </row>
    <row r="183" spans="1:4">
      <c r="A183" s="12" t="s">
        <v>105</v>
      </c>
      <c r="B183" s="7" t="s">
        <v>669</v>
      </c>
      <c r="C183" s="12">
        <v>2</v>
      </c>
      <c r="D183" s="12">
        <v>42111</v>
      </c>
    </row>
    <row r="184" spans="1:4">
      <c r="A184" s="12" t="s">
        <v>55</v>
      </c>
      <c r="B184" s="6" t="s">
        <v>654</v>
      </c>
      <c r="C184" s="12">
        <v>4</v>
      </c>
      <c r="D184" s="12">
        <v>18362</v>
      </c>
    </row>
    <row r="185" spans="1:4">
      <c r="A185" s="12" t="s">
        <v>59</v>
      </c>
      <c r="B185" s="7" t="s">
        <v>668</v>
      </c>
      <c r="C185" s="12">
        <v>2</v>
      </c>
      <c r="D185" s="12">
        <v>44807</v>
      </c>
    </row>
    <row r="186" spans="1:4">
      <c r="A186" s="12" t="s">
        <v>26</v>
      </c>
      <c r="B186" s="6" t="s">
        <v>668</v>
      </c>
      <c r="C186" s="12">
        <v>3</v>
      </c>
      <c r="D186" s="12">
        <v>659</v>
      </c>
    </row>
    <row r="187" spans="1:4">
      <c r="A187" s="12" t="s">
        <v>59</v>
      </c>
      <c r="B187" s="7" t="s">
        <v>670</v>
      </c>
      <c r="C187" s="12">
        <v>1</v>
      </c>
      <c r="D187" s="12">
        <v>31761</v>
      </c>
    </row>
    <row r="188" spans="1:4">
      <c r="A188" s="12" t="s">
        <v>16</v>
      </c>
      <c r="B188" s="6" t="s">
        <v>670</v>
      </c>
      <c r="C188" s="12">
        <v>2</v>
      </c>
      <c r="D188" s="12">
        <v>41256</v>
      </c>
    </row>
    <row r="189" spans="1:4">
      <c r="A189" s="12" t="s">
        <v>6</v>
      </c>
      <c r="B189" s="7" t="s">
        <v>669</v>
      </c>
      <c r="C189" s="12">
        <v>5</v>
      </c>
      <c r="D189" s="12">
        <v>2812</v>
      </c>
    </row>
    <row r="190" spans="1:4">
      <c r="A190" s="12" t="s">
        <v>52</v>
      </c>
      <c r="B190" s="6" t="s">
        <v>672</v>
      </c>
      <c r="C190" s="12">
        <v>5</v>
      </c>
      <c r="D190" s="12">
        <v>46395</v>
      </c>
    </row>
    <row r="191" spans="1:4">
      <c r="A191" s="12" t="s">
        <v>13</v>
      </c>
      <c r="B191" s="7" t="s">
        <v>668</v>
      </c>
      <c r="C191" s="12">
        <v>2</v>
      </c>
      <c r="D191" s="12">
        <v>7078</v>
      </c>
    </row>
    <row r="192" spans="1:4">
      <c r="A192" s="12" t="s">
        <v>6</v>
      </c>
      <c r="B192" s="6" t="s">
        <v>670</v>
      </c>
      <c r="C192" s="12">
        <v>2</v>
      </c>
      <c r="D192" s="12">
        <v>46323</v>
      </c>
    </row>
    <row r="193" spans="1:4">
      <c r="A193" s="12" t="s">
        <v>55</v>
      </c>
      <c r="B193" s="7" t="s">
        <v>654</v>
      </c>
      <c r="C193" s="12">
        <v>2</v>
      </c>
      <c r="D193" s="12">
        <v>48456</v>
      </c>
    </row>
    <row r="194" spans="1:4">
      <c r="A194" s="12" t="s">
        <v>79</v>
      </c>
      <c r="B194" s="6" t="s">
        <v>672</v>
      </c>
      <c r="C194" s="12">
        <v>1</v>
      </c>
      <c r="D194" s="12">
        <v>49234</v>
      </c>
    </row>
    <row r="195" spans="1:4">
      <c r="A195" s="12" t="s">
        <v>12</v>
      </c>
      <c r="B195" s="7" t="s">
        <v>668</v>
      </c>
      <c r="C195" s="12">
        <v>3</v>
      </c>
      <c r="D195" s="12">
        <v>22866</v>
      </c>
    </row>
    <row r="196" spans="1:4">
      <c r="A196" s="12" t="s">
        <v>10</v>
      </c>
      <c r="B196" s="6" t="s">
        <v>671</v>
      </c>
      <c r="C196" s="12">
        <v>4</v>
      </c>
      <c r="D196" s="12">
        <v>37798</v>
      </c>
    </row>
    <row r="197" spans="1:4">
      <c r="A197" s="12" t="s">
        <v>52</v>
      </c>
      <c r="B197" s="7" t="s">
        <v>671</v>
      </c>
      <c r="C197" s="12">
        <v>4</v>
      </c>
      <c r="D197" s="12">
        <v>40801</v>
      </c>
    </row>
    <row r="198" spans="1:4">
      <c r="A198" s="12" t="s">
        <v>6</v>
      </c>
      <c r="B198" s="6" t="s">
        <v>670</v>
      </c>
      <c r="C198" s="12">
        <v>5</v>
      </c>
      <c r="D198" s="12">
        <v>9208</v>
      </c>
    </row>
    <row r="199" spans="1:4">
      <c r="A199" s="12" t="s">
        <v>59</v>
      </c>
      <c r="B199" s="7" t="s">
        <v>654</v>
      </c>
      <c r="C199" s="12">
        <v>5</v>
      </c>
      <c r="D199" s="12">
        <v>5542</v>
      </c>
    </row>
    <row r="200" spans="1:4">
      <c r="A200" s="12" t="s">
        <v>10</v>
      </c>
      <c r="B200" s="6" t="s">
        <v>654</v>
      </c>
      <c r="C200" s="12">
        <v>4</v>
      </c>
      <c r="D200" s="12">
        <v>36432</v>
      </c>
    </row>
    <row r="201" spans="1:4">
      <c r="A201" s="12" t="s">
        <v>59</v>
      </c>
      <c r="B201" s="7" t="s">
        <v>671</v>
      </c>
      <c r="C201" s="12">
        <v>4</v>
      </c>
      <c r="D201" s="12">
        <v>28598</v>
      </c>
    </row>
    <row r="202" spans="1:4">
      <c r="A202" s="12" t="s">
        <v>55</v>
      </c>
      <c r="B202" s="6" t="s">
        <v>669</v>
      </c>
      <c r="C202" s="12">
        <v>3</v>
      </c>
      <c r="D202" s="12">
        <v>2255</v>
      </c>
    </row>
    <row r="203" spans="1:4">
      <c r="A203" s="12" t="s">
        <v>55</v>
      </c>
      <c r="B203" s="7" t="s">
        <v>669</v>
      </c>
      <c r="C203" s="12">
        <v>4</v>
      </c>
      <c r="D203" s="12">
        <v>17685</v>
      </c>
    </row>
    <row r="204" spans="1:4">
      <c r="A204" s="12" t="s">
        <v>79</v>
      </c>
      <c r="B204" s="6" t="s">
        <v>669</v>
      </c>
      <c r="C204" s="12">
        <v>4</v>
      </c>
      <c r="D204" s="12">
        <v>25206</v>
      </c>
    </row>
    <row r="205" spans="1:4">
      <c r="A205" s="12" t="s">
        <v>12</v>
      </c>
      <c r="B205" s="7" t="s">
        <v>671</v>
      </c>
      <c r="C205" s="12">
        <v>5</v>
      </c>
      <c r="D205" s="12">
        <v>44776</v>
      </c>
    </row>
    <row r="206" spans="1:4">
      <c r="A206" s="12" t="s">
        <v>10</v>
      </c>
      <c r="B206" s="6" t="s">
        <v>671</v>
      </c>
      <c r="C206" s="12">
        <v>3</v>
      </c>
      <c r="D206" s="12">
        <v>39868</v>
      </c>
    </row>
    <row r="207" spans="1:4">
      <c r="A207" s="12" t="s">
        <v>105</v>
      </c>
      <c r="B207" s="7" t="s">
        <v>672</v>
      </c>
      <c r="C207" s="12">
        <v>4</v>
      </c>
      <c r="D207" s="12">
        <v>21267</v>
      </c>
    </row>
    <row r="208" spans="1:4">
      <c r="A208" s="12" t="s">
        <v>12</v>
      </c>
      <c r="B208" s="6" t="s">
        <v>668</v>
      </c>
      <c r="C208" s="12">
        <v>5</v>
      </c>
      <c r="D208" s="12">
        <v>31059</v>
      </c>
    </row>
    <row r="209" spans="1:4">
      <c r="A209" s="12" t="s">
        <v>59</v>
      </c>
      <c r="B209" s="7" t="s">
        <v>654</v>
      </c>
      <c r="C209" s="12">
        <v>4</v>
      </c>
      <c r="D209" s="12">
        <v>44334</v>
      </c>
    </row>
    <row r="210" spans="1:4">
      <c r="A210" s="12" t="s">
        <v>15</v>
      </c>
      <c r="B210" s="6" t="s">
        <v>668</v>
      </c>
      <c r="C210" s="12">
        <v>4</v>
      </c>
      <c r="D210" s="12">
        <v>7138</v>
      </c>
    </row>
    <row r="211" spans="1:4">
      <c r="A211" s="12" t="s">
        <v>6</v>
      </c>
      <c r="B211" s="7" t="s">
        <v>669</v>
      </c>
      <c r="C211" s="12">
        <v>2</v>
      </c>
      <c r="D211" s="12">
        <v>30628</v>
      </c>
    </row>
    <row r="212" spans="1:4">
      <c r="A212" s="12" t="s">
        <v>6</v>
      </c>
      <c r="B212" s="6" t="s">
        <v>671</v>
      </c>
      <c r="C212" s="12">
        <v>4</v>
      </c>
      <c r="D212" s="12">
        <v>33080</v>
      </c>
    </row>
    <row r="213" spans="1:4">
      <c r="A213" s="12" t="s">
        <v>6</v>
      </c>
      <c r="B213" s="7" t="s">
        <v>654</v>
      </c>
      <c r="C213" s="12">
        <v>4</v>
      </c>
      <c r="D213" s="12">
        <v>14437</v>
      </c>
    </row>
    <row r="214" spans="1:4">
      <c r="A214" s="12" t="s">
        <v>59</v>
      </c>
      <c r="B214" s="6" t="s">
        <v>668</v>
      </c>
      <c r="C214" s="12">
        <v>5</v>
      </c>
      <c r="D214" s="12">
        <v>41937</v>
      </c>
    </row>
    <row r="215" spans="1:4">
      <c r="A215" s="12" t="s">
        <v>12</v>
      </c>
      <c r="B215" s="7" t="s">
        <v>654</v>
      </c>
      <c r="C215" s="12">
        <v>2</v>
      </c>
      <c r="D215" s="12">
        <v>25538</v>
      </c>
    </row>
    <row r="216" spans="1:4">
      <c r="A216" s="12" t="s">
        <v>105</v>
      </c>
      <c r="B216" s="6" t="s">
        <v>668</v>
      </c>
      <c r="C216" s="12">
        <v>4</v>
      </c>
      <c r="D216" s="12">
        <v>47712</v>
      </c>
    </row>
    <row r="217" spans="1:4">
      <c r="A217" s="12" t="s">
        <v>13</v>
      </c>
      <c r="B217" s="17" t="s">
        <v>667</v>
      </c>
      <c r="C217" s="12">
        <v>1</v>
      </c>
      <c r="D217" s="12">
        <v>9273</v>
      </c>
    </row>
    <row r="218" spans="1:4">
      <c r="A218" s="12" t="s">
        <v>59</v>
      </c>
      <c r="B218" s="16" t="s">
        <v>675</v>
      </c>
      <c r="C218" s="12">
        <v>2</v>
      </c>
      <c r="D218" s="12">
        <v>13427</v>
      </c>
    </row>
    <row r="219" spans="1:4">
      <c r="A219" s="12" t="s">
        <v>12</v>
      </c>
      <c r="B219" s="17" t="s">
        <v>663</v>
      </c>
      <c r="C219" s="12">
        <v>4</v>
      </c>
      <c r="D219" s="12">
        <v>2790</v>
      </c>
    </row>
    <row r="220" spans="1:4">
      <c r="A220" s="12" t="s">
        <v>16</v>
      </c>
      <c r="B220" s="16" t="s">
        <v>674</v>
      </c>
      <c r="C220" s="12">
        <v>1</v>
      </c>
      <c r="D220" s="12">
        <v>28748</v>
      </c>
    </row>
    <row r="221" spans="1:4">
      <c r="A221" s="12" t="s">
        <v>6</v>
      </c>
      <c r="B221" s="17" t="s">
        <v>673</v>
      </c>
      <c r="C221" s="12">
        <v>5</v>
      </c>
      <c r="D221" s="12">
        <v>31589</v>
      </c>
    </row>
    <row r="222" spans="1:4">
      <c r="A222" s="12" t="s">
        <v>59</v>
      </c>
      <c r="B222" s="16" t="s">
        <v>663</v>
      </c>
      <c r="C222" s="12">
        <v>3</v>
      </c>
      <c r="D222" s="12">
        <v>19088</v>
      </c>
    </row>
    <row r="223" spans="1:4">
      <c r="A223" s="12" t="s">
        <v>6</v>
      </c>
      <c r="B223" s="17" t="s">
        <v>673</v>
      </c>
      <c r="C223" s="12">
        <v>5</v>
      </c>
      <c r="D223" s="12">
        <v>47946</v>
      </c>
    </row>
    <row r="224" spans="1:4">
      <c r="A224" s="12" t="s">
        <v>52</v>
      </c>
      <c r="B224" s="16" t="s">
        <v>673</v>
      </c>
      <c r="C224" s="12">
        <v>2</v>
      </c>
      <c r="D224" s="12">
        <v>29058</v>
      </c>
    </row>
    <row r="225" spans="1:4">
      <c r="A225" s="12" t="s">
        <v>12</v>
      </c>
      <c r="B225" s="17" t="s">
        <v>674</v>
      </c>
      <c r="C225" s="12">
        <v>3</v>
      </c>
      <c r="D225" s="12">
        <v>32644</v>
      </c>
    </row>
    <row r="226" spans="1:4">
      <c r="A226" s="12" t="s">
        <v>26</v>
      </c>
      <c r="B226" s="16" t="s">
        <v>673</v>
      </c>
      <c r="C226" s="12">
        <v>3</v>
      </c>
      <c r="D226" s="12">
        <v>10202</v>
      </c>
    </row>
    <row r="227" spans="1:4">
      <c r="A227" s="12" t="s">
        <v>55</v>
      </c>
      <c r="B227" s="17" t="s">
        <v>675</v>
      </c>
      <c r="C227" s="12">
        <v>4</v>
      </c>
      <c r="D227" s="12">
        <v>32036</v>
      </c>
    </row>
    <row r="228" spans="1:4">
      <c r="A228" s="12" t="s">
        <v>13</v>
      </c>
      <c r="B228" s="16" t="s">
        <v>675</v>
      </c>
      <c r="C228" s="12">
        <v>5</v>
      </c>
      <c r="D228" s="12">
        <v>39237</v>
      </c>
    </row>
    <row r="229" spans="1:4">
      <c r="A229" s="12" t="s">
        <v>16</v>
      </c>
      <c r="B229" s="17" t="s">
        <v>663</v>
      </c>
      <c r="C229" s="12">
        <v>1</v>
      </c>
      <c r="D229" s="12">
        <v>45886</v>
      </c>
    </row>
    <row r="230" spans="1:4">
      <c r="A230" s="12" t="s">
        <v>13</v>
      </c>
      <c r="B230" s="16" t="s">
        <v>676</v>
      </c>
      <c r="C230" s="12">
        <v>3</v>
      </c>
      <c r="D230" s="12">
        <v>19520</v>
      </c>
    </row>
    <row r="231" spans="1:4">
      <c r="A231" s="12" t="s">
        <v>59</v>
      </c>
      <c r="B231" s="17" t="s">
        <v>673</v>
      </c>
      <c r="C231" s="12">
        <v>5</v>
      </c>
      <c r="D231" s="12">
        <v>12806</v>
      </c>
    </row>
    <row r="232" spans="1:4">
      <c r="A232" s="12" t="s">
        <v>15</v>
      </c>
      <c r="B232" s="16" t="s">
        <v>668</v>
      </c>
      <c r="C232" s="12">
        <v>4</v>
      </c>
      <c r="D232" s="12">
        <v>14880</v>
      </c>
    </row>
    <row r="233" spans="1:4">
      <c r="A233" s="12" t="s">
        <v>15</v>
      </c>
      <c r="B233" s="17" t="s">
        <v>674</v>
      </c>
      <c r="C233" s="12">
        <v>3</v>
      </c>
      <c r="D233" s="12">
        <v>43988</v>
      </c>
    </row>
    <row r="234" spans="1:4">
      <c r="A234" s="12" t="s">
        <v>15</v>
      </c>
      <c r="B234" s="16" t="s">
        <v>663</v>
      </c>
      <c r="C234" s="12">
        <v>2</v>
      </c>
      <c r="D234" s="12">
        <v>32961</v>
      </c>
    </row>
    <row r="235" spans="1:4">
      <c r="A235" s="12" t="s">
        <v>26</v>
      </c>
      <c r="B235" s="17" t="s">
        <v>663</v>
      </c>
      <c r="C235" s="12">
        <v>3</v>
      </c>
      <c r="D235" s="12">
        <v>36170</v>
      </c>
    </row>
    <row r="236" spans="1:4">
      <c r="A236" s="12" t="s">
        <v>55</v>
      </c>
      <c r="B236" s="16" t="s">
        <v>670</v>
      </c>
      <c r="C236" s="12">
        <v>1</v>
      </c>
      <c r="D236" s="12">
        <v>30600</v>
      </c>
    </row>
    <row r="237" spans="1:4">
      <c r="A237" s="12" t="s">
        <v>15</v>
      </c>
      <c r="B237" s="17" t="s">
        <v>670</v>
      </c>
      <c r="C237" s="12">
        <v>3</v>
      </c>
      <c r="D237" s="12">
        <v>12065</v>
      </c>
    </row>
    <row r="238" spans="1:4">
      <c r="A238" s="12" t="s">
        <v>52</v>
      </c>
      <c r="B238" s="16" t="s">
        <v>673</v>
      </c>
      <c r="C238" s="12">
        <v>2</v>
      </c>
      <c r="D238" s="12">
        <v>2041</v>
      </c>
    </row>
    <row r="239" spans="1:4">
      <c r="A239" s="12" t="s">
        <v>105</v>
      </c>
      <c r="B239" s="17" t="s">
        <v>670</v>
      </c>
      <c r="C239" s="12">
        <v>1</v>
      </c>
      <c r="D239" s="12">
        <v>36197</v>
      </c>
    </row>
    <row r="240" spans="1:4">
      <c r="A240" s="12" t="s">
        <v>52</v>
      </c>
      <c r="B240" s="16" t="s">
        <v>673</v>
      </c>
      <c r="C240" s="12">
        <v>3</v>
      </c>
      <c r="D240" s="12">
        <v>48210</v>
      </c>
    </row>
    <row r="241" spans="1:4">
      <c r="A241" s="12" t="s">
        <v>55</v>
      </c>
      <c r="B241" s="17" t="s">
        <v>668</v>
      </c>
      <c r="C241" s="12">
        <v>5</v>
      </c>
      <c r="D241" s="12">
        <v>29207</v>
      </c>
    </row>
    <row r="242" spans="1:4">
      <c r="A242" s="12" t="s">
        <v>52</v>
      </c>
      <c r="B242" s="16" t="s">
        <v>668</v>
      </c>
      <c r="C242" s="12">
        <v>2</v>
      </c>
      <c r="D242" s="12">
        <v>7128</v>
      </c>
    </row>
    <row r="243" spans="1:4">
      <c r="A243" s="12" t="s">
        <v>79</v>
      </c>
      <c r="B243" s="17" t="s">
        <v>670</v>
      </c>
      <c r="C243" s="12">
        <v>2</v>
      </c>
      <c r="D243" s="12">
        <v>48276</v>
      </c>
    </row>
    <row r="244" spans="1:4">
      <c r="A244" s="12" t="s">
        <v>6</v>
      </c>
      <c r="B244" s="16" t="s">
        <v>670</v>
      </c>
      <c r="C244" s="12">
        <v>2</v>
      </c>
      <c r="D244" s="12">
        <v>46096</v>
      </c>
    </row>
    <row r="245" spans="1:4">
      <c r="A245" s="12" t="s">
        <v>52</v>
      </c>
      <c r="B245" s="17" t="s">
        <v>676</v>
      </c>
      <c r="C245" s="12">
        <v>5</v>
      </c>
      <c r="D245" s="12">
        <v>14195</v>
      </c>
    </row>
    <row r="246" spans="1:4">
      <c r="A246" s="12" t="s">
        <v>10</v>
      </c>
      <c r="B246" s="16" t="s">
        <v>663</v>
      </c>
      <c r="C246" s="12">
        <v>3</v>
      </c>
      <c r="D246" s="12">
        <v>387</v>
      </c>
    </row>
    <row r="247" spans="1:4">
      <c r="A247" s="12" t="s">
        <v>6</v>
      </c>
      <c r="B247" s="17" t="s">
        <v>670</v>
      </c>
      <c r="C247" s="12">
        <v>2</v>
      </c>
      <c r="D247" s="12">
        <v>9560</v>
      </c>
    </row>
    <row r="248" spans="1:4">
      <c r="A248" s="12" t="s">
        <v>55</v>
      </c>
      <c r="B248" s="16" t="s">
        <v>669</v>
      </c>
      <c r="C248" s="12">
        <v>3</v>
      </c>
      <c r="D248" s="12">
        <v>38090</v>
      </c>
    </row>
    <row r="249" spans="1:4">
      <c r="A249" s="12" t="s">
        <v>12</v>
      </c>
      <c r="B249" s="17" t="s">
        <v>668</v>
      </c>
      <c r="C249" s="12">
        <v>5</v>
      </c>
      <c r="D249" s="12">
        <v>29285</v>
      </c>
    </row>
    <row r="250" spans="1:4">
      <c r="A250" s="12" t="s">
        <v>105</v>
      </c>
      <c r="B250" s="16" t="s">
        <v>675</v>
      </c>
      <c r="C250" s="12">
        <v>3</v>
      </c>
      <c r="D250" s="12">
        <v>13008</v>
      </c>
    </row>
    <row r="251" spans="1:4">
      <c r="A251" s="12" t="s">
        <v>55</v>
      </c>
      <c r="B251" s="17" t="s">
        <v>675</v>
      </c>
      <c r="C251" s="12">
        <v>4</v>
      </c>
      <c r="D251" s="12">
        <v>16354</v>
      </c>
    </row>
    <row r="252" spans="1:4">
      <c r="A252" s="12" t="s">
        <v>59</v>
      </c>
      <c r="B252" s="16" t="s">
        <v>675</v>
      </c>
      <c r="C252" s="12">
        <v>4</v>
      </c>
      <c r="D252" s="12">
        <v>36313</v>
      </c>
    </row>
    <row r="253" spans="1:4">
      <c r="A253" s="12" t="s">
        <v>15</v>
      </c>
      <c r="B253" s="17" t="s">
        <v>663</v>
      </c>
      <c r="C253" s="12">
        <v>3</v>
      </c>
      <c r="D253" s="12">
        <v>29388</v>
      </c>
    </row>
    <row r="254" spans="1:4">
      <c r="A254" s="12" t="s">
        <v>15</v>
      </c>
      <c r="B254" s="16" t="s">
        <v>676</v>
      </c>
      <c r="C254" s="12">
        <v>1</v>
      </c>
      <c r="D254" s="12">
        <v>31529</v>
      </c>
    </row>
    <row r="255" spans="1:4">
      <c r="A255" s="12" t="s">
        <v>15</v>
      </c>
      <c r="B255" s="17" t="s">
        <v>672</v>
      </c>
      <c r="C255" s="12">
        <v>5</v>
      </c>
      <c r="D255" s="12">
        <v>48814</v>
      </c>
    </row>
    <row r="256" spans="1:4">
      <c r="A256" s="12" t="s">
        <v>15</v>
      </c>
      <c r="B256" s="16" t="s">
        <v>675</v>
      </c>
      <c r="C256" s="12">
        <v>5</v>
      </c>
      <c r="D256" s="12">
        <v>26029</v>
      </c>
    </row>
    <row r="257" spans="1:4">
      <c r="A257" s="12" t="s">
        <v>13</v>
      </c>
      <c r="B257" s="17" t="s">
        <v>671</v>
      </c>
      <c r="C257" s="12">
        <v>5</v>
      </c>
      <c r="D257" s="12">
        <v>21156</v>
      </c>
    </row>
    <row r="258" spans="1:4">
      <c r="A258" s="12" t="s">
        <v>6</v>
      </c>
      <c r="B258" s="16" t="s">
        <v>669</v>
      </c>
      <c r="C258" s="12">
        <v>3</v>
      </c>
      <c r="D258" s="12">
        <v>27909</v>
      </c>
    </row>
    <row r="259" spans="1:4">
      <c r="A259" s="12" t="s">
        <v>6</v>
      </c>
      <c r="B259" s="17" t="s">
        <v>663</v>
      </c>
      <c r="C259" s="12">
        <v>5</v>
      </c>
      <c r="D259" s="12">
        <v>17700</v>
      </c>
    </row>
    <row r="260" spans="1:4">
      <c r="A260" s="12" t="s">
        <v>59</v>
      </c>
      <c r="B260" s="16" t="s">
        <v>676</v>
      </c>
      <c r="C260" s="12">
        <v>3</v>
      </c>
      <c r="D260" s="12">
        <v>38204</v>
      </c>
    </row>
    <row r="261" spans="1:4">
      <c r="A261" s="12" t="s">
        <v>6</v>
      </c>
      <c r="B261" s="17" t="s">
        <v>663</v>
      </c>
      <c r="C261" s="12">
        <v>5</v>
      </c>
      <c r="D261" s="12">
        <v>26000</v>
      </c>
    </row>
    <row r="262" spans="1:4">
      <c r="A262" s="12" t="s">
        <v>6</v>
      </c>
      <c r="B262" s="16" t="s">
        <v>675</v>
      </c>
      <c r="C262" s="12">
        <v>2</v>
      </c>
      <c r="D262" s="12">
        <v>13285</v>
      </c>
    </row>
    <row r="263" spans="1:4">
      <c r="A263" s="12" t="s">
        <v>79</v>
      </c>
      <c r="B263" s="17" t="s">
        <v>674</v>
      </c>
      <c r="C263" s="12">
        <v>1</v>
      </c>
      <c r="D263" s="12">
        <v>31504</v>
      </c>
    </row>
    <row r="264" spans="1:4">
      <c r="A264" s="12" t="s">
        <v>59</v>
      </c>
      <c r="B264" s="16" t="s">
        <v>673</v>
      </c>
      <c r="C264" s="12">
        <v>1</v>
      </c>
      <c r="D264" s="12">
        <v>22134</v>
      </c>
    </row>
    <row r="265" spans="1:4">
      <c r="A265" s="12" t="s">
        <v>79</v>
      </c>
      <c r="B265" s="17" t="s">
        <v>663</v>
      </c>
      <c r="C265" s="12">
        <v>2</v>
      </c>
      <c r="D265" s="12">
        <v>33562</v>
      </c>
    </row>
    <row r="266" spans="1:4">
      <c r="A266" s="12" t="s">
        <v>15</v>
      </c>
      <c r="B266" s="16" t="s">
        <v>663</v>
      </c>
      <c r="C266" s="12">
        <v>4</v>
      </c>
      <c r="D266" s="12">
        <v>34053</v>
      </c>
    </row>
    <row r="267" spans="1:4">
      <c r="A267" s="12" t="s">
        <v>105</v>
      </c>
      <c r="B267" s="17" t="s">
        <v>667</v>
      </c>
      <c r="C267" s="12">
        <v>4</v>
      </c>
      <c r="D267" s="12">
        <v>21055</v>
      </c>
    </row>
    <row r="268" spans="1:4">
      <c r="A268" s="12" t="s">
        <v>55</v>
      </c>
      <c r="B268" s="16" t="s">
        <v>663</v>
      </c>
      <c r="C268" s="12">
        <v>1</v>
      </c>
      <c r="D268" s="12">
        <v>36765</v>
      </c>
    </row>
    <row r="269" spans="1:4">
      <c r="A269" s="12" t="s">
        <v>10</v>
      </c>
      <c r="B269" s="17" t="s">
        <v>674</v>
      </c>
      <c r="C269" s="12">
        <v>2</v>
      </c>
      <c r="D269" s="12">
        <v>27580</v>
      </c>
    </row>
    <row r="270" spans="1:4">
      <c r="A270" s="12" t="s">
        <v>52</v>
      </c>
      <c r="B270" s="16" t="s">
        <v>663</v>
      </c>
      <c r="C270" s="12">
        <v>4</v>
      </c>
      <c r="D270" s="12">
        <v>2459</v>
      </c>
    </row>
    <row r="271" spans="1:4">
      <c r="A271" s="12" t="s">
        <v>105</v>
      </c>
      <c r="B271" s="17" t="s">
        <v>673</v>
      </c>
      <c r="C271" s="12">
        <v>1</v>
      </c>
      <c r="D271" s="12">
        <v>5720</v>
      </c>
    </row>
    <row r="272" spans="1:4">
      <c r="A272" s="12" t="s">
        <v>15</v>
      </c>
      <c r="B272" s="16" t="s">
        <v>668</v>
      </c>
      <c r="C272" s="12">
        <v>3</v>
      </c>
      <c r="D272" s="12">
        <v>34814</v>
      </c>
    </row>
    <row r="273" spans="1:4">
      <c r="A273" s="12" t="s">
        <v>12</v>
      </c>
      <c r="B273" s="17" t="s">
        <v>674</v>
      </c>
      <c r="C273" s="12">
        <v>3</v>
      </c>
      <c r="D273" s="12">
        <v>32975</v>
      </c>
    </row>
    <row r="274" spans="1:4">
      <c r="A274" s="12" t="s">
        <v>55</v>
      </c>
      <c r="B274" s="16" t="s">
        <v>675</v>
      </c>
      <c r="C274" s="12">
        <v>5</v>
      </c>
      <c r="D274" s="12">
        <v>28326</v>
      </c>
    </row>
    <row r="275" spans="1:4">
      <c r="A275" s="12" t="s">
        <v>6</v>
      </c>
      <c r="B275" s="17" t="s">
        <v>674</v>
      </c>
      <c r="C275" s="12">
        <v>3</v>
      </c>
      <c r="D275" s="12">
        <v>9135</v>
      </c>
    </row>
    <row r="276" spans="1:4">
      <c r="A276" s="12" t="s">
        <v>52</v>
      </c>
      <c r="B276" s="16" t="s">
        <v>663</v>
      </c>
      <c r="C276" s="12">
        <v>2</v>
      </c>
      <c r="D276" s="12">
        <v>669</v>
      </c>
    </row>
    <row r="277" spans="1:4">
      <c r="A277" s="12" t="s">
        <v>10</v>
      </c>
      <c r="B277" s="17" t="s">
        <v>674</v>
      </c>
      <c r="C277" s="12">
        <v>2</v>
      </c>
      <c r="D277" s="12">
        <v>11618</v>
      </c>
    </row>
    <row r="278" spans="1:4">
      <c r="A278" s="12" t="s">
        <v>15</v>
      </c>
      <c r="B278" s="16" t="s">
        <v>674</v>
      </c>
      <c r="C278" s="12">
        <v>5</v>
      </c>
      <c r="D278" s="12">
        <v>25241</v>
      </c>
    </row>
    <row r="279" spans="1:4">
      <c r="A279" s="12" t="s">
        <v>15</v>
      </c>
      <c r="B279" s="17" t="s">
        <v>663</v>
      </c>
      <c r="C279" s="12">
        <v>5</v>
      </c>
      <c r="D279" s="12">
        <v>16532</v>
      </c>
    </row>
    <row r="280" spans="1:4">
      <c r="A280" s="12" t="s">
        <v>12</v>
      </c>
      <c r="B280" s="16" t="s">
        <v>674</v>
      </c>
      <c r="C280" s="12">
        <v>1</v>
      </c>
      <c r="D280" s="12">
        <v>26513</v>
      </c>
    </row>
    <row r="281" spans="1:4">
      <c r="A281" s="12" t="s">
        <v>16</v>
      </c>
      <c r="B281" s="17" t="s">
        <v>676</v>
      </c>
      <c r="C281" s="12">
        <v>3</v>
      </c>
      <c r="D281" s="12">
        <v>26326</v>
      </c>
    </row>
    <row r="282" spans="1:4">
      <c r="A282" s="12" t="s">
        <v>52</v>
      </c>
      <c r="B282" s="16" t="s">
        <v>663</v>
      </c>
      <c r="C282" s="12">
        <v>2</v>
      </c>
      <c r="D282" s="12">
        <v>1361</v>
      </c>
    </row>
    <row r="283" spans="1:4">
      <c r="A283" s="12" t="s">
        <v>12</v>
      </c>
      <c r="B283" s="17" t="s">
        <v>668</v>
      </c>
      <c r="C283" s="12">
        <v>4</v>
      </c>
      <c r="D283" s="12">
        <v>49108</v>
      </c>
    </row>
    <row r="284" spans="1:4">
      <c r="A284" s="12" t="s">
        <v>15</v>
      </c>
      <c r="B284" s="16" t="s">
        <v>668</v>
      </c>
      <c r="C284" s="12">
        <v>5</v>
      </c>
      <c r="D284" s="12">
        <v>42221</v>
      </c>
    </row>
    <row r="285" spans="1:4">
      <c r="A285" s="12" t="s">
        <v>59</v>
      </c>
      <c r="B285" s="17" t="s">
        <v>673</v>
      </c>
      <c r="C285" s="12">
        <v>5</v>
      </c>
      <c r="D285" s="12">
        <v>45804</v>
      </c>
    </row>
    <row r="286" spans="1:4">
      <c r="A286" s="12" t="s">
        <v>26</v>
      </c>
      <c r="B286" s="16" t="s">
        <v>670</v>
      </c>
      <c r="C286" s="12">
        <v>1</v>
      </c>
      <c r="D286" s="12">
        <v>37918</v>
      </c>
    </row>
    <row r="287" spans="1:4">
      <c r="A287" s="12" t="s">
        <v>15</v>
      </c>
      <c r="B287" s="17" t="s">
        <v>668</v>
      </c>
      <c r="C287" s="12">
        <v>1</v>
      </c>
      <c r="D287" s="12">
        <v>45119</v>
      </c>
    </row>
    <row r="288" spans="1:4">
      <c r="A288" s="12" t="s">
        <v>79</v>
      </c>
      <c r="B288" s="16" t="s">
        <v>668</v>
      </c>
      <c r="C288" s="12">
        <v>3</v>
      </c>
      <c r="D288" s="12">
        <v>17833</v>
      </c>
    </row>
    <row r="289" spans="1:4">
      <c r="A289" s="12" t="s">
        <v>12</v>
      </c>
      <c r="B289" s="17" t="s">
        <v>671</v>
      </c>
      <c r="C289" s="12">
        <v>3</v>
      </c>
      <c r="D289" s="12">
        <v>2023</v>
      </c>
    </row>
    <row r="290" spans="1:4">
      <c r="A290" s="12" t="s">
        <v>6</v>
      </c>
      <c r="B290" s="16" t="s">
        <v>670</v>
      </c>
      <c r="C290" s="12">
        <v>5</v>
      </c>
      <c r="D290" s="12">
        <v>49968</v>
      </c>
    </row>
    <row r="291" spans="1:4">
      <c r="A291" s="12" t="s">
        <v>52</v>
      </c>
      <c r="B291" s="17" t="s">
        <v>669</v>
      </c>
      <c r="C291" s="12">
        <v>2</v>
      </c>
      <c r="D291" s="12">
        <v>17863</v>
      </c>
    </row>
    <row r="292" spans="1:4">
      <c r="A292" s="12" t="s">
        <v>15</v>
      </c>
      <c r="B292" s="16" t="s">
        <v>663</v>
      </c>
      <c r="C292" s="12">
        <v>2</v>
      </c>
      <c r="D292" s="12">
        <v>5986</v>
      </c>
    </row>
    <row r="293" spans="1:4">
      <c r="A293" s="12" t="s">
        <v>12</v>
      </c>
      <c r="B293" s="17" t="s">
        <v>663</v>
      </c>
      <c r="C293" s="12">
        <v>5</v>
      </c>
      <c r="D293" s="12">
        <v>19562</v>
      </c>
    </row>
    <row r="294" spans="1:4">
      <c r="A294" s="12" t="s">
        <v>79</v>
      </c>
      <c r="B294" s="16" t="s">
        <v>676</v>
      </c>
      <c r="C294" s="12">
        <v>4</v>
      </c>
      <c r="D294" s="12">
        <v>46700</v>
      </c>
    </row>
    <row r="295" spans="1:4">
      <c r="A295" s="12" t="s">
        <v>52</v>
      </c>
      <c r="B295" s="17" t="s">
        <v>663</v>
      </c>
      <c r="C295" s="12">
        <v>5</v>
      </c>
      <c r="D295" s="12">
        <v>7111</v>
      </c>
    </row>
    <row r="296" spans="1:4">
      <c r="A296" s="12" t="s">
        <v>12</v>
      </c>
      <c r="B296" s="16" t="s">
        <v>670</v>
      </c>
      <c r="C296" s="12">
        <v>5</v>
      </c>
      <c r="D296" s="12">
        <v>41852</v>
      </c>
    </row>
    <row r="297" spans="1:4">
      <c r="A297" s="12" t="s">
        <v>6</v>
      </c>
      <c r="B297" s="17" t="s">
        <v>663</v>
      </c>
      <c r="C297" s="12">
        <v>1</v>
      </c>
      <c r="D297" s="12">
        <v>37924</v>
      </c>
    </row>
    <row r="298" spans="1:4">
      <c r="A298" s="12" t="s">
        <v>105</v>
      </c>
      <c r="B298" s="16" t="s">
        <v>663</v>
      </c>
      <c r="C298" s="12">
        <v>5</v>
      </c>
      <c r="D298" s="12">
        <v>5546</v>
      </c>
    </row>
    <row r="299" spans="1:4">
      <c r="A299" s="12" t="s">
        <v>26</v>
      </c>
      <c r="B299" s="17" t="s">
        <v>669</v>
      </c>
      <c r="C299" s="12">
        <v>1</v>
      </c>
      <c r="D299" s="12">
        <v>4217</v>
      </c>
    </row>
    <row r="300" spans="1:4">
      <c r="A300" s="12" t="s">
        <v>10</v>
      </c>
      <c r="B300" s="16" t="s">
        <v>671</v>
      </c>
      <c r="C300" s="12">
        <v>5</v>
      </c>
      <c r="D300" s="12">
        <v>18998</v>
      </c>
    </row>
    <row r="301" spans="1:4">
      <c r="A301" s="12" t="s">
        <v>15</v>
      </c>
      <c r="B301" s="17" t="s">
        <v>676</v>
      </c>
      <c r="C301" s="12">
        <v>1</v>
      </c>
      <c r="D301" s="12">
        <v>49639</v>
      </c>
    </row>
    <row r="302" spans="1:4">
      <c r="A302" s="12" t="s">
        <v>16</v>
      </c>
      <c r="B302" s="16" t="s">
        <v>676</v>
      </c>
      <c r="C302" s="12">
        <v>3</v>
      </c>
      <c r="D302" s="12">
        <v>1890</v>
      </c>
    </row>
    <row r="303" spans="1:4">
      <c r="A303" s="12" t="s">
        <v>16</v>
      </c>
      <c r="B303" s="17" t="s">
        <v>675</v>
      </c>
      <c r="C303" s="12">
        <v>1</v>
      </c>
      <c r="D303" s="12">
        <v>5872</v>
      </c>
    </row>
    <row r="304" spans="1:4">
      <c r="A304" s="12" t="s">
        <v>59</v>
      </c>
      <c r="B304" s="16" t="s">
        <v>671</v>
      </c>
      <c r="C304" s="12">
        <v>3</v>
      </c>
      <c r="D304" s="12">
        <v>7996</v>
      </c>
    </row>
    <row r="305" spans="1:4">
      <c r="A305" s="12" t="s">
        <v>79</v>
      </c>
      <c r="B305" s="17" t="s">
        <v>667</v>
      </c>
      <c r="C305" s="12">
        <v>3</v>
      </c>
      <c r="D305" s="12">
        <v>46591</v>
      </c>
    </row>
    <row r="306" spans="1:4">
      <c r="A306" s="12" t="s">
        <v>52</v>
      </c>
      <c r="B306" s="16" t="s">
        <v>663</v>
      </c>
      <c r="C306" s="12">
        <v>3</v>
      </c>
      <c r="D306" s="12">
        <v>16701</v>
      </c>
    </row>
    <row r="307" spans="1:4">
      <c r="A307" s="12" t="s">
        <v>55</v>
      </c>
      <c r="B307" s="17" t="s">
        <v>671</v>
      </c>
      <c r="C307" s="12">
        <v>5</v>
      </c>
      <c r="D307" s="12">
        <v>26961</v>
      </c>
    </row>
    <row r="308" spans="1:4">
      <c r="A308" s="12" t="s">
        <v>13</v>
      </c>
      <c r="B308" s="16" t="s">
        <v>669</v>
      </c>
      <c r="C308" s="12">
        <v>4</v>
      </c>
      <c r="D308" s="12">
        <v>17448</v>
      </c>
    </row>
    <row r="309" spans="1:4">
      <c r="A309" s="12" t="s">
        <v>55</v>
      </c>
      <c r="B309" s="17" t="s">
        <v>667</v>
      </c>
      <c r="C309" s="12">
        <v>5</v>
      </c>
      <c r="D309" s="12">
        <v>14352</v>
      </c>
    </row>
    <row r="310" spans="1:4">
      <c r="A310" s="12" t="s">
        <v>105</v>
      </c>
      <c r="B310" s="16" t="s">
        <v>676</v>
      </c>
      <c r="C310" s="12">
        <v>1</v>
      </c>
      <c r="D310" s="12">
        <v>9555</v>
      </c>
    </row>
    <row r="311" spans="1:4">
      <c r="A311" s="12" t="s">
        <v>6</v>
      </c>
      <c r="B311" s="17" t="s">
        <v>675</v>
      </c>
      <c r="C311" s="12">
        <v>4</v>
      </c>
      <c r="D311" s="12">
        <v>36623</v>
      </c>
    </row>
    <row r="312" spans="1:4">
      <c r="A312" s="12" t="s">
        <v>6</v>
      </c>
      <c r="B312" s="16" t="s">
        <v>667</v>
      </c>
      <c r="C312" s="12">
        <v>5</v>
      </c>
      <c r="D312" s="12">
        <v>38562</v>
      </c>
    </row>
    <row r="313" spans="1:4">
      <c r="A313" s="12" t="s">
        <v>6</v>
      </c>
      <c r="B313" s="17" t="s">
        <v>675</v>
      </c>
      <c r="C313" s="12">
        <v>4</v>
      </c>
      <c r="D313" s="12">
        <v>41809</v>
      </c>
    </row>
    <row r="314" spans="1:4">
      <c r="A314" s="12" t="s">
        <v>16</v>
      </c>
      <c r="B314" s="16" t="s">
        <v>673</v>
      </c>
      <c r="C314" s="12">
        <v>4</v>
      </c>
      <c r="D314" s="12">
        <v>22486</v>
      </c>
    </row>
    <row r="315" spans="1:4">
      <c r="A315" s="12" t="s">
        <v>55</v>
      </c>
      <c r="B315" s="17" t="s">
        <v>675</v>
      </c>
      <c r="C315" s="12">
        <v>3</v>
      </c>
      <c r="D315" s="12">
        <v>22179</v>
      </c>
    </row>
    <row r="316" spans="1:4">
      <c r="A316" s="12" t="s">
        <v>26</v>
      </c>
      <c r="B316" s="16" t="s">
        <v>667</v>
      </c>
      <c r="C316" s="12">
        <v>4</v>
      </c>
      <c r="D316" s="12">
        <v>11275</v>
      </c>
    </row>
    <row r="317" spans="1:4">
      <c r="A317" s="12" t="s">
        <v>15</v>
      </c>
      <c r="B317" s="17" t="s">
        <v>673</v>
      </c>
      <c r="C317" s="12">
        <v>3</v>
      </c>
      <c r="D317" s="12">
        <v>18810</v>
      </c>
    </row>
    <row r="318" spans="1:4">
      <c r="A318" s="12" t="s">
        <v>16</v>
      </c>
      <c r="B318" s="16" t="s">
        <v>673</v>
      </c>
      <c r="C318" s="12">
        <v>2</v>
      </c>
      <c r="D318" s="12">
        <v>17816</v>
      </c>
    </row>
    <row r="319" spans="1:4">
      <c r="A319" s="12" t="s">
        <v>15</v>
      </c>
      <c r="B319" s="17" t="s">
        <v>663</v>
      </c>
      <c r="C319" s="12">
        <v>1</v>
      </c>
      <c r="D319" s="12">
        <v>16089</v>
      </c>
    </row>
    <row r="320" spans="1:4">
      <c r="A320" s="12" t="s">
        <v>10</v>
      </c>
      <c r="B320" s="16" t="s">
        <v>663</v>
      </c>
      <c r="C320" s="12">
        <v>3</v>
      </c>
      <c r="D320" s="12">
        <v>40780</v>
      </c>
    </row>
    <row r="321" spans="1:4">
      <c r="A321" s="12" t="s">
        <v>15</v>
      </c>
      <c r="B321" s="17" t="s">
        <v>668</v>
      </c>
      <c r="C321" s="12">
        <v>1</v>
      </c>
      <c r="D321" s="12">
        <v>19006</v>
      </c>
    </row>
    <row r="322" spans="1:4">
      <c r="A322" s="12" t="s">
        <v>10</v>
      </c>
      <c r="B322" s="16" t="s">
        <v>668</v>
      </c>
      <c r="C322" s="12">
        <v>3</v>
      </c>
      <c r="D322" s="12">
        <v>45126</v>
      </c>
    </row>
    <row r="323" spans="1:4">
      <c r="A323" s="12" t="s">
        <v>12</v>
      </c>
      <c r="B323" s="17" t="s">
        <v>668</v>
      </c>
      <c r="C323" s="12">
        <v>3</v>
      </c>
      <c r="D323" s="12">
        <v>9313</v>
      </c>
    </row>
    <row r="324" spans="1:4">
      <c r="A324" s="12" t="s">
        <v>52</v>
      </c>
      <c r="B324" s="16" t="s">
        <v>675</v>
      </c>
      <c r="C324" s="12">
        <v>4</v>
      </c>
      <c r="D324" s="12">
        <v>7313</v>
      </c>
    </row>
    <row r="325" spans="1:4">
      <c r="A325" s="12" t="s">
        <v>79</v>
      </c>
      <c r="B325" s="17" t="s">
        <v>663</v>
      </c>
      <c r="C325" s="12">
        <v>5</v>
      </c>
      <c r="D325" s="12">
        <v>14042</v>
      </c>
    </row>
    <row r="326" spans="1:4">
      <c r="A326" s="12" t="s">
        <v>15</v>
      </c>
      <c r="B326" s="16" t="s">
        <v>673</v>
      </c>
      <c r="C326" s="12">
        <v>3</v>
      </c>
      <c r="D326" s="12">
        <v>24395</v>
      </c>
    </row>
    <row r="327" spans="1:4">
      <c r="A327" s="12" t="s">
        <v>59</v>
      </c>
      <c r="B327" s="17" t="s">
        <v>668</v>
      </c>
      <c r="C327" s="12">
        <v>1</v>
      </c>
      <c r="D327" s="12">
        <v>36570</v>
      </c>
    </row>
    <row r="328" spans="1:4">
      <c r="A328" s="12" t="s">
        <v>15</v>
      </c>
      <c r="B328" s="16" t="s">
        <v>674</v>
      </c>
      <c r="C328" s="12">
        <v>5</v>
      </c>
      <c r="D328" s="12">
        <v>6843</v>
      </c>
    </row>
    <row r="329" spans="1:4">
      <c r="A329" s="12" t="s">
        <v>105</v>
      </c>
      <c r="B329" s="17" t="s">
        <v>674</v>
      </c>
      <c r="C329" s="12">
        <v>3</v>
      </c>
      <c r="D329" s="12">
        <v>5228</v>
      </c>
    </row>
    <row r="330" spans="1:4">
      <c r="A330" s="12" t="s">
        <v>12</v>
      </c>
      <c r="B330" s="16" t="s">
        <v>668</v>
      </c>
      <c r="C330" s="12">
        <v>1</v>
      </c>
      <c r="D330" s="12">
        <v>49557</v>
      </c>
    </row>
    <row r="331" spans="1:4">
      <c r="A331" s="12" t="s">
        <v>12</v>
      </c>
      <c r="B331" s="17" t="s">
        <v>671</v>
      </c>
      <c r="C331" s="12">
        <v>4</v>
      </c>
      <c r="D331" s="12">
        <v>24124</v>
      </c>
    </row>
    <row r="332" spans="1:4">
      <c r="A332" s="12" t="s">
        <v>10</v>
      </c>
      <c r="B332" s="16" t="s">
        <v>673</v>
      </c>
      <c r="C332" s="12">
        <v>3</v>
      </c>
      <c r="D332" s="12">
        <v>33649</v>
      </c>
    </row>
    <row r="333" spans="1:4">
      <c r="A333" s="12" t="s">
        <v>55</v>
      </c>
      <c r="B333" s="17" t="s">
        <v>668</v>
      </c>
      <c r="C333" s="12">
        <v>3</v>
      </c>
      <c r="D333" s="12">
        <v>28834</v>
      </c>
    </row>
    <row r="334" spans="1:4">
      <c r="A334" s="12" t="s">
        <v>55</v>
      </c>
      <c r="B334" s="16" t="s">
        <v>670</v>
      </c>
      <c r="C334" s="12">
        <v>2</v>
      </c>
      <c r="D334" s="12">
        <v>7948</v>
      </c>
    </row>
    <row r="335" spans="1:4">
      <c r="A335" s="12" t="s">
        <v>10</v>
      </c>
      <c r="B335" s="17" t="s">
        <v>668</v>
      </c>
      <c r="C335" s="12">
        <v>4</v>
      </c>
      <c r="D335" s="12">
        <v>36390</v>
      </c>
    </row>
    <row r="336" spans="1:4">
      <c r="A336" s="12" t="s">
        <v>52</v>
      </c>
      <c r="B336" s="16" t="s">
        <v>670</v>
      </c>
      <c r="C336" s="12">
        <v>5</v>
      </c>
      <c r="D336" s="12">
        <v>12884</v>
      </c>
    </row>
    <row r="337" spans="1:4">
      <c r="A337" s="12" t="s">
        <v>79</v>
      </c>
      <c r="B337" s="17" t="s">
        <v>668</v>
      </c>
      <c r="C337" s="12">
        <v>2</v>
      </c>
      <c r="D337" s="12">
        <v>44267</v>
      </c>
    </row>
    <row r="338" spans="1:4">
      <c r="A338" s="12" t="s">
        <v>13</v>
      </c>
      <c r="B338" s="16" t="s">
        <v>668</v>
      </c>
      <c r="C338" s="12">
        <v>1</v>
      </c>
      <c r="D338" s="12">
        <v>44442</v>
      </c>
    </row>
    <row r="339" spans="1:4">
      <c r="A339" s="12" t="s">
        <v>12</v>
      </c>
      <c r="B339" s="17" t="s">
        <v>670</v>
      </c>
      <c r="C339" s="12">
        <v>5</v>
      </c>
      <c r="D339" s="12">
        <v>28785</v>
      </c>
    </row>
    <row r="340" spans="1:4">
      <c r="A340" s="12" t="s">
        <v>12</v>
      </c>
      <c r="B340" s="16" t="s">
        <v>670</v>
      </c>
      <c r="C340" s="12">
        <v>2</v>
      </c>
      <c r="D340" s="12">
        <v>45678</v>
      </c>
    </row>
    <row r="341" spans="1:4">
      <c r="A341" s="12" t="s">
        <v>12</v>
      </c>
      <c r="B341" s="17" t="s">
        <v>676</v>
      </c>
      <c r="C341" s="12">
        <v>5</v>
      </c>
      <c r="D341" s="12">
        <v>11114</v>
      </c>
    </row>
    <row r="342" spans="1:4">
      <c r="A342" s="12" t="s">
        <v>59</v>
      </c>
      <c r="B342" s="16" t="s">
        <v>670</v>
      </c>
      <c r="C342" s="12">
        <v>2</v>
      </c>
      <c r="D342" s="12">
        <v>45725</v>
      </c>
    </row>
    <row r="343" spans="1:4">
      <c r="A343" s="12" t="s">
        <v>52</v>
      </c>
      <c r="B343" s="17" t="s">
        <v>670</v>
      </c>
      <c r="C343" s="12">
        <v>4</v>
      </c>
      <c r="D343" s="12">
        <v>29147</v>
      </c>
    </row>
    <row r="344" spans="1:4">
      <c r="A344" s="12" t="s">
        <v>26</v>
      </c>
      <c r="B344" s="16" t="s">
        <v>671</v>
      </c>
      <c r="C344" s="12">
        <v>3</v>
      </c>
      <c r="D344" s="12">
        <v>43376</v>
      </c>
    </row>
    <row r="345" spans="1:4">
      <c r="A345" s="12" t="s">
        <v>59</v>
      </c>
      <c r="B345" s="17" t="s">
        <v>663</v>
      </c>
      <c r="C345" s="12">
        <v>5</v>
      </c>
      <c r="D345" s="12">
        <v>12605</v>
      </c>
    </row>
    <row r="346" spans="1:4">
      <c r="A346" s="12" t="s">
        <v>6</v>
      </c>
      <c r="B346" s="16" t="s">
        <v>663</v>
      </c>
      <c r="C346" s="12">
        <v>5</v>
      </c>
      <c r="D346" s="12">
        <v>8176</v>
      </c>
    </row>
    <row r="347" spans="1:4">
      <c r="A347" s="12" t="s">
        <v>16</v>
      </c>
      <c r="B347" s="17" t="s">
        <v>667</v>
      </c>
      <c r="C347" s="12">
        <v>3</v>
      </c>
      <c r="D347" s="12">
        <v>14780</v>
      </c>
    </row>
    <row r="348" spans="1:4">
      <c r="A348" s="12" t="s">
        <v>16</v>
      </c>
      <c r="B348" s="16" t="s">
        <v>663</v>
      </c>
      <c r="C348" s="12">
        <v>1</v>
      </c>
      <c r="D348" s="12">
        <v>2093</v>
      </c>
    </row>
    <row r="349" spans="1:4">
      <c r="A349" s="12" t="s">
        <v>59</v>
      </c>
      <c r="B349" s="17" t="s">
        <v>667</v>
      </c>
      <c r="C349" s="12">
        <v>4</v>
      </c>
      <c r="D349" s="12">
        <v>15890</v>
      </c>
    </row>
    <row r="350" spans="1:4">
      <c r="A350" s="12" t="s">
        <v>59</v>
      </c>
      <c r="B350" s="16" t="s">
        <v>675</v>
      </c>
      <c r="C350" s="12">
        <v>4</v>
      </c>
      <c r="D350" s="12">
        <v>41114</v>
      </c>
    </row>
    <row r="351" spans="1:4">
      <c r="A351" s="12" t="s">
        <v>13</v>
      </c>
      <c r="B351" s="17" t="s">
        <v>676</v>
      </c>
      <c r="C351" s="12">
        <v>3</v>
      </c>
      <c r="D351" s="12">
        <v>26102</v>
      </c>
    </row>
    <row r="352" spans="1:4">
      <c r="A352" s="12" t="s">
        <v>59</v>
      </c>
      <c r="B352" s="16" t="s">
        <v>675</v>
      </c>
      <c r="C352" s="12">
        <v>5</v>
      </c>
      <c r="D352" s="12">
        <v>41794</v>
      </c>
    </row>
    <row r="353" spans="1:4">
      <c r="A353" s="12" t="s">
        <v>12</v>
      </c>
      <c r="B353" s="17" t="s">
        <v>676</v>
      </c>
      <c r="C353" s="12">
        <v>2</v>
      </c>
      <c r="D353" s="12">
        <v>34991</v>
      </c>
    </row>
    <row r="354" spans="1:4">
      <c r="A354" s="12" t="s">
        <v>52</v>
      </c>
      <c r="B354" s="16" t="s">
        <v>663</v>
      </c>
      <c r="C354" s="12">
        <v>2</v>
      </c>
      <c r="D354" s="12">
        <v>23233</v>
      </c>
    </row>
    <row r="355" spans="1:4">
      <c r="A355" s="12" t="s">
        <v>13</v>
      </c>
      <c r="B355" s="17" t="s">
        <v>669</v>
      </c>
      <c r="C355" s="12">
        <v>5</v>
      </c>
      <c r="D355" s="12">
        <v>41762</v>
      </c>
    </row>
    <row r="356" spans="1:4">
      <c r="A356" s="12" t="s">
        <v>12</v>
      </c>
      <c r="B356" s="16" t="s">
        <v>675</v>
      </c>
      <c r="C356" s="12">
        <v>4</v>
      </c>
      <c r="D356" s="12">
        <v>24608</v>
      </c>
    </row>
    <row r="357" spans="1:4">
      <c r="A357" s="12" t="s">
        <v>12</v>
      </c>
      <c r="B357" s="17" t="s">
        <v>667</v>
      </c>
      <c r="C357" s="12">
        <v>5</v>
      </c>
      <c r="D357" s="12">
        <v>30407</v>
      </c>
    </row>
    <row r="358" spans="1:4">
      <c r="A358" s="12" t="s">
        <v>52</v>
      </c>
      <c r="B358" s="16" t="s">
        <v>667</v>
      </c>
      <c r="C358" s="12">
        <v>5</v>
      </c>
      <c r="D358" s="12">
        <v>47263</v>
      </c>
    </row>
    <row r="359" spans="1:4">
      <c r="A359" s="12" t="s">
        <v>79</v>
      </c>
      <c r="B359" s="17" t="s">
        <v>674</v>
      </c>
      <c r="C359" s="12">
        <v>5</v>
      </c>
      <c r="D359" s="12">
        <v>41861</v>
      </c>
    </row>
    <row r="360" spans="1:4">
      <c r="A360" s="12" t="s">
        <v>16</v>
      </c>
      <c r="B360" s="16" t="s">
        <v>675</v>
      </c>
      <c r="C360" s="12">
        <v>5</v>
      </c>
      <c r="D360" s="12">
        <v>15652</v>
      </c>
    </row>
    <row r="361" spans="1:4">
      <c r="A361" s="12" t="s">
        <v>52</v>
      </c>
      <c r="B361" s="17" t="s">
        <v>673</v>
      </c>
      <c r="C361" s="12">
        <v>4</v>
      </c>
      <c r="D361" s="12">
        <v>10707</v>
      </c>
    </row>
    <row r="362" spans="1:4">
      <c r="A362" s="12" t="s">
        <v>105</v>
      </c>
      <c r="B362" s="16" t="s">
        <v>674</v>
      </c>
      <c r="C362" s="12">
        <v>4</v>
      </c>
      <c r="D362" s="12">
        <v>5204</v>
      </c>
    </row>
    <row r="363" spans="1:4">
      <c r="A363" s="12" t="s">
        <v>79</v>
      </c>
      <c r="B363" s="17" t="s">
        <v>673</v>
      </c>
      <c r="C363" s="12">
        <v>4</v>
      </c>
      <c r="D363" s="12">
        <v>12001</v>
      </c>
    </row>
    <row r="364" spans="1:4">
      <c r="A364" s="12" t="s">
        <v>10</v>
      </c>
      <c r="B364" s="16" t="s">
        <v>676</v>
      </c>
      <c r="C364" s="12">
        <v>5</v>
      </c>
      <c r="D364" s="12">
        <v>30365</v>
      </c>
    </row>
    <row r="365" spans="1:4">
      <c r="A365" s="12" t="s">
        <v>105</v>
      </c>
      <c r="B365" s="17" t="s">
        <v>676</v>
      </c>
      <c r="C365" s="12">
        <v>4</v>
      </c>
      <c r="D365" s="12">
        <v>11361</v>
      </c>
    </row>
    <row r="366" spans="1:4">
      <c r="A366" s="12" t="s">
        <v>15</v>
      </c>
      <c r="B366" s="16" t="s">
        <v>675</v>
      </c>
      <c r="C366" s="12">
        <v>2</v>
      </c>
      <c r="D366" s="12">
        <v>40679</v>
      </c>
    </row>
    <row r="367" spans="1:4">
      <c r="A367" s="12" t="s">
        <v>52</v>
      </c>
      <c r="B367" s="17" t="s">
        <v>663</v>
      </c>
      <c r="C367" s="12">
        <v>1</v>
      </c>
      <c r="D367" s="12">
        <v>22600</v>
      </c>
    </row>
    <row r="368" spans="1:4">
      <c r="A368" s="12" t="s">
        <v>16</v>
      </c>
      <c r="B368" s="16" t="s">
        <v>663</v>
      </c>
      <c r="C368" s="12">
        <v>2</v>
      </c>
      <c r="D368" s="12">
        <v>37047</v>
      </c>
    </row>
    <row r="369" spans="1:4">
      <c r="A369" s="12" t="s">
        <v>26</v>
      </c>
      <c r="B369" s="17" t="s">
        <v>676</v>
      </c>
      <c r="C369" s="12">
        <v>3</v>
      </c>
      <c r="D369" s="12">
        <v>47485</v>
      </c>
    </row>
    <row r="370" spans="1:4">
      <c r="A370" s="12" t="s">
        <v>13</v>
      </c>
      <c r="B370" s="16" t="s">
        <v>663</v>
      </c>
      <c r="C370" s="12">
        <v>1</v>
      </c>
      <c r="D370" s="12">
        <v>5092</v>
      </c>
    </row>
    <row r="371" spans="1:4">
      <c r="A371" s="12" t="s">
        <v>52</v>
      </c>
      <c r="B371" s="17" t="s">
        <v>663</v>
      </c>
      <c r="C371" s="12">
        <v>4</v>
      </c>
      <c r="D371" s="12">
        <v>36764</v>
      </c>
    </row>
    <row r="372" spans="1:4">
      <c r="A372" s="12" t="s">
        <v>105</v>
      </c>
      <c r="B372" s="16" t="s">
        <v>676</v>
      </c>
      <c r="C372" s="12">
        <v>2</v>
      </c>
      <c r="D372" s="12">
        <v>34613</v>
      </c>
    </row>
    <row r="373" spans="1:4">
      <c r="A373" s="12" t="s">
        <v>55</v>
      </c>
      <c r="B373" s="17" t="s">
        <v>668</v>
      </c>
      <c r="C373" s="12">
        <v>3</v>
      </c>
      <c r="D373" s="12">
        <v>27936</v>
      </c>
    </row>
    <row r="374" spans="1:4">
      <c r="A374" s="12" t="s">
        <v>52</v>
      </c>
      <c r="B374" s="16" t="s">
        <v>668</v>
      </c>
      <c r="C374" s="12">
        <v>2</v>
      </c>
      <c r="D374" s="12">
        <v>2947</v>
      </c>
    </row>
    <row r="375" spans="1:4">
      <c r="A375" s="12" t="s">
        <v>6</v>
      </c>
      <c r="B375" s="17" t="s">
        <v>676</v>
      </c>
      <c r="C375" s="12">
        <v>2</v>
      </c>
      <c r="D375" s="12">
        <v>49984</v>
      </c>
    </row>
    <row r="376" spans="1:4">
      <c r="A376" s="12" t="s">
        <v>10</v>
      </c>
      <c r="B376" s="16" t="s">
        <v>674</v>
      </c>
      <c r="C376" s="12">
        <v>2</v>
      </c>
      <c r="D376" s="12">
        <v>25260</v>
      </c>
    </row>
    <row r="377" spans="1:4">
      <c r="A377" s="12" t="s">
        <v>79</v>
      </c>
      <c r="B377" s="17" t="s">
        <v>668</v>
      </c>
      <c r="C377" s="12">
        <v>5</v>
      </c>
      <c r="D377" s="12">
        <v>21586</v>
      </c>
    </row>
    <row r="378" spans="1:4">
      <c r="A378" s="12" t="s">
        <v>10</v>
      </c>
      <c r="B378" s="16" t="s">
        <v>673</v>
      </c>
      <c r="C378" s="12">
        <v>5</v>
      </c>
      <c r="D378" s="12">
        <v>5539</v>
      </c>
    </row>
    <row r="379" spans="1:4">
      <c r="A379" s="12" t="s">
        <v>12</v>
      </c>
      <c r="B379" s="17" t="s">
        <v>663</v>
      </c>
      <c r="C379" s="12">
        <v>2</v>
      </c>
      <c r="D379" s="12">
        <v>21390</v>
      </c>
    </row>
    <row r="380" spans="1:4">
      <c r="A380" s="12" t="s">
        <v>59</v>
      </c>
      <c r="B380" s="16" t="s">
        <v>670</v>
      </c>
      <c r="C380" s="12">
        <v>4</v>
      </c>
      <c r="D380" s="12">
        <v>19163</v>
      </c>
    </row>
    <row r="381" spans="1:4">
      <c r="A381" s="12" t="s">
        <v>105</v>
      </c>
      <c r="B381" s="17" t="s">
        <v>676</v>
      </c>
      <c r="C381" s="12">
        <v>4</v>
      </c>
      <c r="D381" s="12">
        <v>4623</v>
      </c>
    </row>
    <row r="382" spans="1:4">
      <c r="A382" s="12" t="s">
        <v>26</v>
      </c>
      <c r="B382" s="16" t="s">
        <v>673</v>
      </c>
      <c r="C382" s="12">
        <v>3</v>
      </c>
      <c r="D382" s="12">
        <v>42332</v>
      </c>
    </row>
    <row r="383" spans="1:4">
      <c r="A383" s="12" t="s">
        <v>13</v>
      </c>
      <c r="B383" s="17" t="s">
        <v>668</v>
      </c>
      <c r="C383" s="12">
        <v>2</v>
      </c>
      <c r="D383" s="12">
        <v>39661</v>
      </c>
    </row>
    <row r="384" spans="1:4">
      <c r="A384" s="12" t="s">
        <v>10</v>
      </c>
      <c r="B384" s="16" t="s">
        <v>668</v>
      </c>
      <c r="C384" s="12">
        <v>4</v>
      </c>
      <c r="D384" s="12">
        <v>45991</v>
      </c>
    </row>
    <row r="385" spans="1:4">
      <c r="A385" s="12" t="s">
        <v>26</v>
      </c>
      <c r="B385" s="17" t="s">
        <v>663</v>
      </c>
      <c r="C385" s="12">
        <v>4</v>
      </c>
      <c r="D385" s="12">
        <v>44565</v>
      </c>
    </row>
    <row r="386" spans="1:4">
      <c r="A386" s="12" t="s">
        <v>105</v>
      </c>
      <c r="B386" s="16" t="s">
        <v>669</v>
      </c>
      <c r="C386" s="12">
        <v>4</v>
      </c>
      <c r="D386" s="12">
        <v>38135</v>
      </c>
    </row>
    <row r="387" spans="1:4">
      <c r="A387" s="12" t="s">
        <v>13</v>
      </c>
      <c r="B387" s="17" t="s">
        <v>670</v>
      </c>
      <c r="C387" s="12">
        <v>1</v>
      </c>
      <c r="D387" s="12">
        <v>3349</v>
      </c>
    </row>
    <row r="388" spans="1:4">
      <c r="A388" s="12" t="s">
        <v>26</v>
      </c>
      <c r="B388" s="16" t="s">
        <v>671</v>
      </c>
      <c r="C388" s="12">
        <v>4</v>
      </c>
      <c r="D388" s="12">
        <v>14680</v>
      </c>
    </row>
    <row r="389" spans="1:4">
      <c r="A389" s="12" t="s">
        <v>15</v>
      </c>
      <c r="B389" s="17" t="s">
        <v>669</v>
      </c>
      <c r="C389" s="12">
        <v>2</v>
      </c>
      <c r="D389" s="12">
        <v>36386</v>
      </c>
    </row>
    <row r="390" spans="1:4">
      <c r="A390" s="12" t="s">
        <v>12</v>
      </c>
      <c r="B390" s="16" t="s">
        <v>671</v>
      </c>
      <c r="C390" s="12">
        <v>3</v>
      </c>
      <c r="D390" s="12">
        <v>14987</v>
      </c>
    </row>
    <row r="391" spans="1:4">
      <c r="A391" s="12" t="s">
        <v>10</v>
      </c>
      <c r="B391" s="17" t="s">
        <v>663</v>
      </c>
      <c r="C391" s="12">
        <v>5</v>
      </c>
      <c r="D391" s="12">
        <v>32595</v>
      </c>
    </row>
    <row r="392" spans="1:4">
      <c r="A392" s="12" t="s">
        <v>59</v>
      </c>
      <c r="B392" s="16" t="s">
        <v>667</v>
      </c>
      <c r="C392" s="12">
        <v>5</v>
      </c>
      <c r="D392" s="12">
        <v>35442</v>
      </c>
    </row>
    <row r="393" spans="1:4">
      <c r="A393" s="12" t="s">
        <v>105</v>
      </c>
      <c r="B393" s="17" t="s">
        <v>663</v>
      </c>
      <c r="C393" s="12">
        <v>5</v>
      </c>
      <c r="D393" s="12">
        <v>39506</v>
      </c>
    </row>
    <row r="394" spans="1:4">
      <c r="A394" s="12" t="s">
        <v>79</v>
      </c>
      <c r="B394" s="16" t="s">
        <v>675</v>
      </c>
      <c r="C394" s="12">
        <v>2</v>
      </c>
      <c r="D394" s="12">
        <v>33094</v>
      </c>
    </row>
    <row r="395" spans="1:4">
      <c r="A395" s="12" t="s">
        <v>13</v>
      </c>
      <c r="B395" s="17" t="s">
        <v>667</v>
      </c>
      <c r="C395" s="12">
        <v>5</v>
      </c>
      <c r="D395" s="12">
        <v>26104</v>
      </c>
    </row>
    <row r="396" spans="1:4">
      <c r="A396" s="12" t="s">
        <v>16</v>
      </c>
      <c r="B396" s="16" t="s">
        <v>669</v>
      </c>
      <c r="C396" s="12">
        <v>4</v>
      </c>
      <c r="D396" s="12">
        <v>37213</v>
      </c>
    </row>
    <row r="397" spans="1:4">
      <c r="A397" s="12" t="s">
        <v>59</v>
      </c>
      <c r="B397" s="17" t="s">
        <v>673</v>
      </c>
      <c r="C397" s="12">
        <v>1</v>
      </c>
      <c r="D397" s="12">
        <v>1534</v>
      </c>
    </row>
    <row r="398" spans="1:4">
      <c r="A398" s="12" t="s">
        <v>79</v>
      </c>
      <c r="B398" s="16" t="s">
        <v>663</v>
      </c>
      <c r="C398" s="12">
        <v>2</v>
      </c>
      <c r="D398" s="12">
        <v>13321</v>
      </c>
    </row>
    <row r="399" spans="1:4">
      <c r="A399" s="12" t="s">
        <v>52</v>
      </c>
      <c r="B399" s="17" t="s">
        <v>675</v>
      </c>
      <c r="C399" s="12">
        <v>5</v>
      </c>
      <c r="D399" s="12">
        <v>5723</v>
      </c>
    </row>
    <row r="400" spans="1:4">
      <c r="A400" s="12" t="s">
        <v>15</v>
      </c>
      <c r="B400" s="16" t="s">
        <v>676</v>
      </c>
      <c r="C400" s="12">
        <v>1</v>
      </c>
      <c r="D400" s="12">
        <v>18587</v>
      </c>
    </row>
    <row r="401" spans="1:4">
      <c r="A401" s="12" t="s">
        <v>6</v>
      </c>
      <c r="B401" s="17" t="s">
        <v>676</v>
      </c>
      <c r="C401" s="12">
        <v>2</v>
      </c>
      <c r="D401" s="12">
        <v>22985</v>
      </c>
    </row>
    <row r="402" spans="1:4">
      <c r="A402" s="12" t="s">
        <v>16</v>
      </c>
      <c r="B402" s="16" t="s">
        <v>663</v>
      </c>
      <c r="C402" s="12">
        <v>1</v>
      </c>
      <c r="D402" s="12">
        <v>16628</v>
      </c>
    </row>
    <row r="403" spans="1:4">
      <c r="A403" s="12" t="s">
        <v>16</v>
      </c>
      <c r="B403" s="17" t="s">
        <v>676</v>
      </c>
      <c r="C403" s="12">
        <v>3</v>
      </c>
      <c r="D403" s="12">
        <v>17764</v>
      </c>
    </row>
    <row r="404" spans="1:4">
      <c r="A404" s="12" t="s">
        <v>26</v>
      </c>
      <c r="B404" s="16" t="s">
        <v>675</v>
      </c>
      <c r="C404" s="12">
        <v>5</v>
      </c>
      <c r="D404" s="12">
        <v>7386</v>
      </c>
    </row>
    <row r="405" spans="1:4">
      <c r="A405" s="12" t="s">
        <v>79</v>
      </c>
      <c r="B405" s="17" t="s">
        <v>667</v>
      </c>
      <c r="C405" s="12">
        <v>1</v>
      </c>
      <c r="D405" s="12">
        <v>35053</v>
      </c>
    </row>
    <row r="406" spans="1:4">
      <c r="A406" s="12" t="s">
        <v>15</v>
      </c>
      <c r="B406" s="16" t="s">
        <v>663</v>
      </c>
      <c r="C406" s="12">
        <v>5</v>
      </c>
      <c r="D406" s="12">
        <v>7882</v>
      </c>
    </row>
    <row r="407" spans="1:4">
      <c r="A407" s="12" t="s">
        <v>55</v>
      </c>
      <c r="B407" s="17" t="s">
        <v>667</v>
      </c>
      <c r="C407" s="12">
        <v>3</v>
      </c>
      <c r="D407" s="12">
        <v>46173</v>
      </c>
    </row>
    <row r="408" spans="1:4">
      <c r="A408" s="12" t="s">
        <v>52</v>
      </c>
      <c r="B408" s="16" t="s">
        <v>673</v>
      </c>
      <c r="C408" s="12">
        <v>3</v>
      </c>
      <c r="D408" s="12">
        <v>17105</v>
      </c>
    </row>
    <row r="409" spans="1:4">
      <c r="A409" s="12" t="s">
        <v>6</v>
      </c>
      <c r="B409" s="17" t="s">
        <v>673</v>
      </c>
      <c r="C409" s="12">
        <v>5</v>
      </c>
      <c r="D409" s="12">
        <v>27005</v>
      </c>
    </row>
    <row r="410" spans="1:4">
      <c r="A410" s="12" t="s">
        <v>12</v>
      </c>
      <c r="B410" s="16" t="s">
        <v>668</v>
      </c>
      <c r="C410" s="12">
        <v>3</v>
      </c>
      <c r="D410" s="12">
        <v>10745</v>
      </c>
    </row>
    <row r="411" spans="1:4">
      <c r="A411" s="12" t="s">
        <v>15</v>
      </c>
      <c r="B411" s="17" t="s">
        <v>668</v>
      </c>
      <c r="C411" s="12">
        <v>2</v>
      </c>
      <c r="D411" s="12">
        <v>6237</v>
      </c>
    </row>
    <row r="412" spans="1:4">
      <c r="A412" s="12" t="s">
        <v>6</v>
      </c>
      <c r="B412" s="16" t="s">
        <v>676</v>
      </c>
      <c r="C412" s="12">
        <v>5</v>
      </c>
      <c r="D412" s="12">
        <v>24005</v>
      </c>
    </row>
    <row r="413" spans="1:4">
      <c r="A413" s="12" t="s">
        <v>26</v>
      </c>
      <c r="B413" s="17" t="s">
        <v>668</v>
      </c>
      <c r="C413" s="12">
        <v>3</v>
      </c>
      <c r="D413" s="12">
        <v>29307</v>
      </c>
    </row>
    <row r="414" spans="1:4">
      <c r="A414" s="12" t="s">
        <v>16</v>
      </c>
      <c r="B414" s="16" t="s">
        <v>663</v>
      </c>
      <c r="C414" s="12">
        <v>2</v>
      </c>
      <c r="D414" s="12">
        <v>15917</v>
      </c>
    </row>
    <row r="415" spans="1:4">
      <c r="A415" s="12" t="s">
        <v>15</v>
      </c>
      <c r="B415" s="17" t="s">
        <v>674</v>
      </c>
      <c r="C415" s="12">
        <v>3</v>
      </c>
      <c r="D415" s="12">
        <v>21037</v>
      </c>
    </row>
    <row r="416" spans="1:4">
      <c r="A416" s="12" t="s">
        <v>16</v>
      </c>
      <c r="B416" s="16" t="s">
        <v>676</v>
      </c>
      <c r="C416" s="12">
        <v>4</v>
      </c>
      <c r="D416" s="12">
        <v>46778</v>
      </c>
    </row>
    <row r="417" spans="1:4">
      <c r="A417" s="12" t="s">
        <v>55</v>
      </c>
      <c r="B417" s="17" t="s">
        <v>668</v>
      </c>
      <c r="C417" s="12">
        <v>1</v>
      </c>
      <c r="D417" s="12">
        <v>22122</v>
      </c>
    </row>
    <row r="418" spans="1:4">
      <c r="A418" s="12" t="s">
        <v>55</v>
      </c>
      <c r="B418" s="16" t="s">
        <v>673</v>
      </c>
      <c r="C418" s="12">
        <v>3</v>
      </c>
      <c r="D418" s="12">
        <v>22908</v>
      </c>
    </row>
    <row r="419" spans="1:4">
      <c r="A419" s="12" t="s">
        <v>79</v>
      </c>
      <c r="B419" s="17" t="s">
        <v>673</v>
      </c>
      <c r="C419" s="12">
        <v>1</v>
      </c>
      <c r="D419" s="12">
        <v>28506</v>
      </c>
    </row>
    <row r="420" spans="1:4">
      <c r="A420" s="12" t="s">
        <v>16</v>
      </c>
      <c r="B420" s="16" t="s">
        <v>663</v>
      </c>
      <c r="C420" s="12">
        <v>2</v>
      </c>
      <c r="D420" s="12">
        <v>45544</v>
      </c>
    </row>
    <row r="421" spans="1:4">
      <c r="A421" s="12" t="s">
        <v>6</v>
      </c>
      <c r="B421" s="17" t="s">
        <v>668</v>
      </c>
      <c r="C421" s="12">
        <v>2</v>
      </c>
      <c r="D421" s="12">
        <v>21821</v>
      </c>
    </row>
    <row r="422" spans="1:4">
      <c r="A422" s="12" t="s">
        <v>79</v>
      </c>
      <c r="B422" s="16" t="s">
        <v>676</v>
      </c>
      <c r="C422" s="12">
        <v>3</v>
      </c>
      <c r="D422" s="12">
        <v>10342</v>
      </c>
    </row>
    <row r="423" spans="1:4">
      <c r="A423" s="12" t="s">
        <v>79</v>
      </c>
      <c r="B423" s="17" t="s">
        <v>673</v>
      </c>
      <c r="C423" s="12">
        <v>5</v>
      </c>
      <c r="D423" s="12">
        <v>49170</v>
      </c>
    </row>
    <row r="424" spans="1:4">
      <c r="A424" s="12" t="s">
        <v>16</v>
      </c>
      <c r="B424" s="16" t="s">
        <v>676</v>
      </c>
      <c r="C424" s="12">
        <v>4</v>
      </c>
      <c r="D424" s="12">
        <v>33533</v>
      </c>
    </row>
    <row r="425" spans="1:4">
      <c r="A425" s="12" t="s">
        <v>52</v>
      </c>
      <c r="B425" s="17" t="s">
        <v>670</v>
      </c>
      <c r="C425" s="12">
        <v>2</v>
      </c>
      <c r="D425" s="12">
        <v>43575</v>
      </c>
    </row>
    <row r="426" spans="1:4">
      <c r="A426" s="12" t="s">
        <v>15</v>
      </c>
      <c r="B426" s="16" t="s">
        <v>673</v>
      </c>
      <c r="C426" s="12">
        <v>1</v>
      </c>
      <c r="D426" s="12">
        <v>32494</v>
      </c>
    </row>
    <row r="427" spans="1:4">
      <c r="A427" s="12" t="s">
        <v>79</v>
      </c>
      <c r="B427" s="17" t="s">
        <v>673</v>
      </c>
      <c r="C427" s="12">
        <v>4</v>
      </c>
      <c r="D427" s="12">
        <v>6139</v>
      </c>
    </row>
    <row r="428" spans="1:4">
      <c r="A428" s="12" t="s">
        <v>13</v>
      </c>
      <c r="B428" s="16" t="s">
        <v>671</v>
      </c>
      <c r="C428" s="12">
        <v>1</v>
      </c>
      <c r="D428" s="12">
        <v>5801</v>
      </c>
    </row>
    <row r="429" spans="1:4">
      <c r="A429" s="12" t="s">
        <v>13</v>
      </c>
      <c r="B429" s="17" t="s">
        <v>673</v>
      </c>
      <c r="C429" s="12">
        <v>1</v>
      </c>
      <c r="D429" s="12">
        <v>47903</v>
      </c>
    </row>
    <row r="430" spans="1:4">
      <c r="A430" s="12" t="s">
        <v>52</v>
      </c>
      <c r="B430" s="16" t="s">
        <v>670</v>
      </c>
      <c r="C430" s="12">
        <v>1</v>
      </c>
      <c r="D430" s="12">
        <v>16385</v>
      </c>
    </row>
    <row r="431" spans="1:4">
      <c r="A431" s="12" t="s">
        <v>12</v>
      </c>
      <c r="B431" s="17" t="s">
        <v>671</v>
      </c>
      <c r="C431" s="12">
        <v>2</v>
      </c>
      <c r="D431" s="12">
        <v>19521</v>
      </c>
    </row>
    <row r="432" spans="1:4">
      <c r="A432" s="12" t="s">
        <v>15</v>
      </c>
      <c r="B432" s="16" t="s">
        <v>676</v>
      </c>
      <c r="C432" s="12">
        <v>3</v>
      </c>
      <c r="D432" s="12">
        <v>5540</v>
      </c>
    </row>
    <row r="433" spans="1:4">
      <c r="A433" s="12" t="s">
        <v>13</v>
      </c>
      <c r="B433" s="17" t="s">
        <v>663</v>
      </c>
      <c r="C433" s="12">
        <v>3</v>
      </c>
      <c r="D433" s="12">
        <v>48589</v>
      </c>
    </row>
    <row r="434" spans="1:4">
      <c r="A434" s="12" t="s">
        <v>6</v>
      </c>
      <c r="B434" s="16" t="s">
        <v>663</v>
      </c>
      <c r="C434" s="12">
        <v>5</v>
      </c>
      <c r="D434" s="12">
        <v>9517</v>
      </c>
    </row>
    <row r="435" spans="1:4">
      <c r="A435" s="12" t="s">
        <v>105</v>
      </c>
      <c r="B435" s="17" t="s">
        <v>663</v>
      </c>
      <c r="C435" s="12">
        <v>5</v>
      </c>
      <c r="D435" s="12">
        <v>12089</v>
      </c>
    </row>
    <row r="436" spans="1:4">
      <c r="A436" s="12" t="s">
        <v>59</v>
      </c>
      <c r="B436" s="16" t="s">
        <v>667</v>
      </c>
      <c r="C436" s="12">
        <v>3</v>
      </c>
      <c r="D436" s="12">
        <v>36958</v>
      </c>
    </row>
    <row r="437" spans="1:4">
      <c r="A437" s="12" t="s">
        <v>13</v>
      </c>
      <c r="B437" s="17" t="s">
        <v>669</v>
      </c>
      <c r="C437" s="12">
        <v>4</v>
      </c>
      <c r="D437" s="12">
        <v>6299</v>
      </c>
    </row>
    <row r="438" spans="1:4">
      <c r="A438" s="12" t="s">
        <v>79</v>
      </c>
      <c r="B438" s="16" t="s">
        <v>674</v>
      </c>
      <c r="C438" s="12">
        <v>1</v>
      </c>
      <c r="D438" s="12">
        <v>6669</v>
      </c>
    </row>
    <row r="439" spans="1:4">
      <c r="A439" s="12" t="s">
        <v>79</v>
      </c>
      <c r="B439" s="17" t="s">
        <v>667</v>
      </c>
      <c r="C439" s="12">
        <v>3</v>
      </c>
      <c r="D439" s="12">
        <v>14554</v>
      </c>
    </row>
    <row r="440" spans="1:4">
      <c r="A440" s="12" t="s">
        <v>79</v>
      </c>
      <c r="B440" s="16" t="s">
        <v>671</v>
      </c>
      <c r="C440" s="12">
        <v>2</v>
      </c>
      <c r="D440" s="12">
        <v>27412</v>
      </c>
    </row>
    <row r="441" spans="1:4">
      <c r="A441" s="12" t="s">
        <v>55</v>
      </c>
      <c r="B441" s="17" t="s">
        <v>676</v>
      </c>
      <c r="C441" s="12">
        <v>2</v>
      </c>
      <c r="D441" s="12">
        <v>47311</v>
      </c>
    </row>
    <row r="442" spans="1:4">
      <c r="A442" s="12" t="s">
        <v>55</v>
      </c>
      <c r="B442" s="16" t="s">
        <v>663</v>
      </c>
      <c r="C442" s="12">
        <v>4</v>
      </c>
      <c r="D442" s="12">
        <v>38602</v>
      </c>
    </row>
    <row r="443" spans="1:4">
      <c r="A443" s="12" t="s">
        <v>10</v>
      </c>
      <c r="B443" s="17" t="s">
        <v>674</v>
      </c>
      <c r="C443" s="12">
        <v>1</v>
      </c>
      <c r="D443" s="12">
        <v>28224</v>
      </c>
    </row>
    <row r="444" spans="1:4">
      <c r="A444" s="12" t="s">
        <v>6</v>
      </c>
      <c r="B444" s="16" t="s">
        <v>675</v>
      </c>
      <c r="C444" s="12">
        <v>1</v>
      </c>
      <c r="D444" s="12">
        <v>6748</v>
      </c>
    </row>
    <row r="445" spans="1:4">
      <c r="A445" s="12" t="s">
        <v>10</v>
      </c>
      <c r="B445" s="17" t="s">
        <v>669</v>
      </c>
      <c r="C445" s="12">
        <v>4</v>
      </c>
      <c r="D445" s="12">
        <v>1788</v>
      </c>
    </row>
    <row r="446" spans="1:4">
      <c r="A446" s="12" t="s">
        <v>79</v>
      </c>
      <c r="B446" s="16" t="s">
        <v>669</v>
      </c>
      <c r="C446" s="12">
        <v>3</v>
      </c>
      <c r="D446" s="12">
        <v>34171</v>
      </c>
    </row>
    <row r="447" spans="1:4">
      <c r="A447" s="12" t="s">
        <v>52</v>
      </c>
      <c r="B447" s="17" t="s">
        <v>667</v>
      </c>
      <c r="C447" s="12">
        <v>5</v>
      </c>
      <c r="D447" s="12">
        <v>44579</v>
      </c>
    </row>
    <row r="448" spans="1:4">
      <c r="A448" s="12" t="s">
        <v>79</v>
      </c>
      <c r="B448" s="16" t="s">
        <v>663</v>
      </c>
      <c r="C448" s="12">
        <v>2</v>
      </c>
      <c r="D448" s="12">
        <v>2871</v>
      </c>
    </row>
    <row r="449" spans="1:4">
      <c r="A449" s="12" t="s">
        <v>79</v>
      </c>
      <c r="B449" s="17" t="s">
        <v>667</v>
      </c>
      <c r="C449" s="12">
        <v>4</v>
      </c>
      <c r="D449" s="12">
        <v>4127</v>
      </c>
    </row>
    <row r="450" spans="1:4">
      <c r="A450" s="12" t="s">
        <v>16</v>
      </c>
      <c r="B450" s="16" t="s">
        <v>676</v>
      </c>
      <c r="C450" s="12">
        <v>3</v>
      </c>
      <c r="D450" s="12">
        <v>23080</v>
      </c>
    </row>
    <row r="451" spans="1:4">
      <c r="A451" s="12" t="s">
        <v>16</v>
      </c>
      <c r="B451" s="17" t="s">
        <v>673</v>
      </c>
      <c r="C451" s="12">
        <v>1</v>
      </c>
      <c r="D451" s="12">
        <v>26109</v>
      </c>
    </row>
    <row r="452" spans="1:4">
      <c r="A452" s="12" t="s">
        <v>52</v>
      </c>
      <c r="B452" s="16" t="s">
        <v>673</v>
      </c>
      <c r="C452" s="12">
        <v>2</v>
      </c>
      <c r="D452" s="12">
        <v>43294</v>
      </c>
    </row>
    <row r="453" spans="1:4">
      <c r="A453" s="12" t="s">
        <v>13</v>
      </c>
      <c r="B453" s="17" t="s">
        <v>674</v>
      </c>
      <c r="C453" s="12">
        <v>2</v>
      </c>
      <c r="D453" s="12">
        <v>4365</v>
      </c>
    </row>
    <row r="454" spans="1:4">
      <c r="A454" s="12" t="s">
        <v>10</v>
      </c>
      <c r="B454" s="16" t="s">
        <v>674</v>
      </c>
      <c r="C454" s="12">
        <v>2</v>
      </c>
      <c r="D454" s="12">
        <v>24921</v>
      </c>
    </row>
    <row r="455" spans="1:4">
      <c r="A455" s="12" t="s">
        <v>12</v>
      </c>
      <c r="B455" s="17" t="s">
        <v>663</v>
      </c>
      <c r="C455" s="12">
        <v>1</v>
      </c>
      <c r="D455" s="12">
        <v>4584</v>
      </c>
    </row>
    <row r="456" spans="1:4">
      <c r="A456" s="12" t="s">
        <v>52</v>
      </c>
      <c r="B456" s="16" t="s">
        <v>674</v>
      </c>
      <c r="C456" s="12">
        <v>5</v>
      </c>
      <c r="D456" s="12">
        <v>20166</v>
      </c>
    </row>
    <row r="457" spans="1:4">
      <c r="A457" s="12" t="s">
        <v>10</v>
      </c>
      <c r="B457" s="17" t="s">
        <v>667</v>
      </c>
      <c r="C457" s="12">
        <v>4</v>
      </c>
      <c r="D457" s="12">
        <v>47216</v>
      </c>
    </row>
    <row r="458" spans="1:4">
      <c r="A458" s="12" t="s">
        <v>79</v>
      </c>
      <c r="B458" s="16" t="s">
        <v>667</v>
      </c>
      <c r="C458" s="12">
        <v>2</v>
      </c>
      <c r="D458" s="12">
        <v>21403</v>
      </c>
    </row>
    <row r="459" spans="1:4">
      <c r="A459" s="12" t="s">
        <v>12</v>
      </c>
      <c r="B459" s="17" t="s">
        <v>663</v>
      </c>
      <c r="C459" s="12">
        <v>2</v>
      </c>
      <c r="D459" s="12">
        <v>21839</v>
      </c>
    </row>
    <row r="460" spans="1:4">
      <c r="A460" s="12" t="s">
        <v>12</v>
      </c>
      <c r="B460" s="16" t="s">
        <v>674</v>
      </c>
      <c r="C460" s="12">
        <v>4</v>
      </c>
      <c r="D460" s="12">
        <v>24704</v>
      </c>
    </row>
    <row r="461" spans="1:4">
      <c r="A461" s="12" t="s">
        <v>55</v>
      </c>
      <c r="B461" s="17" t="s">
        <v>674</v>
      </c>
      <c r="C461" s="12">
        <v>3</v>
      </c>
      <c r="D461" s="12">
        <v>47795</v>
      </c>
    </row>
    <row r="462" spans="1:4">
      <c r="A462" s="12" t="s">
        <v>6</v>
      </c>
      <c r="B462" s="16" t="s">
        <v>667</v>
      </c>
      <c r="C462" s="12">
        <v>5</v>
      </c>
      <c r="D462" s="12">
        <v>1675</v>
      </c>
    </row>
    <row r="463" spans="1:4">
      <c r="A463" s="12" t="s">
        <v>55</v>
      </c>
      <c r="B463" s="17" t="s">
        <v>663</v>
      </c>
      <c r="C463" s="12">
        <v>4</v>
      </c>
      <c r="D463" s="12">
        <v>20913</v>
      </c>
    </row>
    <row r="464" spans="1:4">
      <c r="A464" s="12" t="s">
        <v>12</v>
      </c>
      <c r="B464" s="16" t="s">
        <v>674</v>
      </c>
      <c r="C464" s="12">
        <v>3</v>
      </c>
      <c r="D464" s="12">
        <v>29849</v>
      </c>
    </row>
    <row r="465" spans="1:4">
      <c r="A465" s="12" t="s">
        <v>10</v>
      </c>
      <c r="B465" s="17" t="s">
        <v>674</v>
      </c>
      <c r="C465" s="12">
        <v>1</v>
      </c>
      <c r="D465" s="12">
        <v>48327</v>
      </c>
    </row>
    <row r="466" spans="1:4">
      <c r="A466" s="12" t="s">
        <v>15</v>
      </c>
      <c r="B466" s="16" t="s">
        <v>675</v>
      </c>
      <c r="C466" s="12">
        <v>3</v>
      </c>
      <c r="D466" s="12">
        <v>30609</v>
      </c>
    </row>
    <row r="467" spans="1:4">
      <c r="A467" s="12" t="s">
        <v>6</v>
      </c>
      <c r="B467" s="17" t="s">
        <v>663</v>
      </c>
      <c r="C467" s="12">
        <v>1</v>
      </c>
      <c r="D467" s="12">
        <v>14184</v>
      </c>
    </row>
    <row r="468" spans="1:4">
      <c r="A468" s="12" t="s">
        <v>13</v>
      </c>
      <c r="B468" s="16" t="s">
        <v>667</v>
      </c>
      <c r="C468" s="12">
        <v>1</v>
      </c>
      <c r="D468" s="12">
        <v>2110</v>
      </c>
    </row>
    <row r="469" spans="1:4">
      <c r="A469" s="12" t="s">
        <v>26</v>
      </c>
      <c r="B469" s="17" t="s">
        <v>674</v>
      </c>
      <c r="C469" s="12">
        <v>3</v>
      </c>
      <c r="D469" s="12">
        <v>37417</v>
      </c>
    </row>
    <row r="470" spans="1:4">
      <c r="A470" s="12" t="s">
        <v>105</v>
      </c>
      <c r="B470" s="16" t="s">
        <v>663</v>
      </c>
      <c r="C470" s="12">
        <v>3</v>
      </c>
      <c r="D470" s="12">
        <v>13906</v>
      </c>
    </row>
    <row r="471" spans="1:4">
      <c r="A471" s="12" t="s">
        <v>12</v>
      </c>
      <c r="B471" s="17" t="s">
        <v>673</v>
      </c>
      <c r="C471" s="12">
        <v>3</v>
      </c>
      <c r="D471" s="12">
        <v>8085</v>
      </c>
    </row>
    <row r="472" spans="1:4">
      <c r="A472" s="12" t="s">
        <v>79</v>
      </c>
      <c r="B472" s="16" t="s">
        <v>673</v>
      </c>
      <c r="C472" s="12">
        <v>5</v>
      </c>
      <c r="D472" s="12">
        <v>42695</v>
      </c>
    </row>
    <row r="473" spans="1:4">
      <c r="A473" s="12" t="s">
        <v>16</v>
      </c>
      <c r="B473" s="17" t="s">
        <v>667</v>
      </c>
      <c r="C473" s="12">
        <v>3</v>
      </c>
      <c r="D473" s="12">
        <v>4794</v>
      </c>
    </row>
    <row r="474" spans="1:4">
      <c r="A474" s="12" t="s">
        <v>52</v>
      </c>
      <c r="B474" s="16" t="s">
        <v>667</v>
      </c>
      <c r="C474" s="12">
        <v>1</v>
      </c>
      <c r="D474" s="12">
        <v>17961</v>
      </c>
    </row>
    <row r="475" spans="1:4">
      <c r="A475" s="12" t="s">
        <v>55</v>
      </c>
      <c r="B475" s="17" t="s">
        <v>667</v>
      </c>
      <c r="C475" s="12">
        <v>2</v>
      </c>
      <c r="D475" s="12">
        <v>18761</v>
      </c>
    </row>
    <row r="476" spans="1:4">
      <c r="A476" s="12" t="s">
        <v>52</v>
      </c>
      <c r="B476" s="16" t="s">
        <v>663</v>
      </c>
      <c r="C476" s="12">
        <v>2</v>
      </c>
      <c r="D476" s="12">
        <v>37870</v>
      </c>
    </row>
    <row r="477" spans="1:4">
      <c r="A477" s="12" t="s">
        <v>10</v>
      </c>
      <c r="B477" s="17" t="s">
        <v>674</v>
      </c>
      <c r="C477" s="12">
        <v>2</v>
      </c>
      <c r="D477" s="12">
        <v>752</v>
      </c>
    </row>
    <row r="478" spans="1:4">
      <c r="A478" s="12" t="s">
        <v>59</v>
      </c>
      <c r="B478" s="16" t="s">
        <v>663</v>
      </c>
      <c r="C478" s="12">
        <v>1</v>
      </c>
      <c r="D478" s="12">
        <v>31143</v>
      </c>
    </row>
    <row r="479" spans="1:4">
      <c r="A479" s="12" t="s">
        <v>105</v>
      </c>
      <c r="B479" s="17" t="s">
        <v>663</v>
      </c>
      <c r="C479" s="12">
        <v>1</v>
      </c>
      <c r="D479" s="12">
        <v>4338</v>
      </c>
    </row>
    <row r="480" spans="1:4">
      <c r="A480" s="12" t="s">
        <v>15</v>
      </c>
      <c r="B480" s="16" t="s">
        <v>663</v>
      </c>
      <c r="C480" s="12">
        <v>3</v>
      </c>
      <c r="D480" s="12">
        <v>47266</v>
      </c>
    </row>
    <row r="481" spans="1:4">
      <c r="A481" s="12" t="s">
        <v>26</v>
      </c>
      <c r="B481" s="17" t="s">
        <v>673</v>
      </c>
      <c r="C481" s="12">
        <v>1</v>
      </c>
      <c r="D481" s="12">
        <v>19616</v>
      </c>
    </row>
    <row r="482" spans="1:4">
      <c r="A482" s="12" t="s">
        <v>13</v>
      </c>
      <c r="B482" s="16" t="s">
        <v>667</v>
      </c>
      <c r="C482" s="12">
        <v>3</v>
      </c>
      <c r="D482" s="12">
        <v>35247</v>
      </c>
    </row>
    <row r="483" spans="1:4">
      <c r="A483" s="12" t="s">
        <v>16</v>
      </c>
      <c r="B483" s="17" t="s">
        <v>675</v>
      </c>
      <c r="C483" s="12">
        <v>2</v>
      </c>
      <c r="D483" s="12">
        <v>14056</v>
      </c>
    </row>
    <row r="484" spans="1:4">
      <c r="A484" s="12" t="s">
        <v>105</v>
      </c>
      <c r="B484" s="16" t="s">
        <v>676</v>
      </c>
      <c r="C484" s="12">
        <v>5</v>
      </c>
      <c r="D484" s="12">
        <v>10710</v>
      </c>
    </row>
    <row r="485" spans="1:4">
      <c r="A485" s="12" t="s">
        <v>12</v>
      </c>
      <c r="B485" s="17" t="s">
        <v>663</v>
      </c>
      <c r="C485" s="12">
        <v>2</v>
      </c>
      <c r="D485" s="12">
        <v>22345</v>
      </c>
    </row>
    <row r="486" spans="1:4">
      <c r="A486" s="12" t="s">
        <v>59</v>
      </c>
      <c r="B486" s="16" t="s">
        <v>673</v>
      </c>
      <c r="C486" s="12">
        <v>2</v>
      </c>
      <c r="D486" s="12">
        <v>15713</v>
      </c>
    </row>
    <row r="487" spans="1:4">
      <c r="A487" s="12" t="s">
        <v>6</v>
      </c>
      <c r="B487" s="17" t="s">
        <v>663</v>
      </c>
      <c r="C487" s="12">
        <v>1</v>
      </c>
      <c r="D487" s="12">
        <v>30560</v>
      </c>
    </row>
    <row r="488" spans="1:4">
      <c r="A488" s="12" t="s">
        <v>15</v>
      </c>
      <c r="B488" s="16" t="s">
        <v>675</v>
      </c>
      <c r="C488" s="12">
        <v>5</v>
      </c>
      <c r="D488" s="12">
        <v>14259</v>
      </c>
    </row>
    <row r="489" spans="1:4">
      <c r="A489" s="12" t="s">
        <v>52</v>
      </c>
      <c r="B489" s="17" t="s">
        <v>663</v>
      </c>
      <c r="C489" s="12">
        <v>2</v>
      </c>
      <c r="D489" s="12">
        <v>13417</v>
      </c>
    </row>
    <row r="490" spans="1:4">
      <c r="A490" s="12" t="s">
        <v>52</v>
      </c>
      <c r="B490" s="16" t="s">
        <v>667</v>
      </c>
      <c r="C490" s="12">
        <v>1</v>
      </c>
      <c r="D490" s="12">
        <v>39101</v>
      </c>
    </row>
    <row r="491" spans="1:4">
      <c r="A491" s="12" t="s">
        <v>13</v>
      </c>
      <c r="B491" s="17" t="s">
        <v>673</v>
      </c>
      <c r="C491" s="12">
        <v>5</v>
      </c>
      <c r="D491" s="12">
        <v>5574</v>
      </c>
    </row>
    <row r="492" spans="1:4">
      <c r="A492" s="12" t="s">
        <v>6</v>
      </c>
      <c r="B492" s="16" t="s">
        <v>674</v>
      </c>
      <c r="C492" s="12">
        <v>1</v>
      </c>
      <c r="D492" s="12">
        <v>23378</v>
      </c>
    </row>
    <row r="493" spans="1:4">
      <c r="A493" s="12" t="s">
        <v>6</v>
      </c>
      <c r="B493" s="17" t="s">
        <v>674</v>
      </c>
      <c r="C493" s="12">
        <v>2</v>
      </c>
      <c r="D493" s="12">
        <v>45472</v>
      </c>
    </row>
    <row r="494" spans="1:4">
      <c r="A494" s="12" t="s">
        <v>13</v>
      </c>
      <c r="B494" s="16" t="s">
        <v>667</v>
      </c>
      <c r="C494" s="12">
        <v>1</v>
      </c>
      <c r="D494" s="12">
        <v>6902</v>
      </c>
    </row>
    <row r="495" spans="1:4">
      <c r="A495" s="12" t="s">
        <v>79</v>
      </c>
      <c r="B495" s="17" t="s">
        <v>663</v>
      </c>
      <c r="C495" s="12">
        <v>4</v>
      </c>
      <c r="D495" s="12">
        <v>13696</v>
      </c>
    </row>
    <row r="496" spans="1:4">
      <c r="A496" s="12" t="s">
        <v>15</v>
      </c>
      <c r="B496" s="16" t="s">
        <v>675</v>
      </c>
      <c r="C496" s="12">
        <v>3</v>
      </c>
      <c r="D496" s="12">
        <v>8479</v>
      </c>
    </row>
    <row r="497" spans="1:4">
      <c r="A497" s="12" t="s">
        <v>52</v>
      </c>
      <c r="B497" s="17" t="s">
        <v>663</v>
      </c>
      <c r="C497" s="12">
        <v>1</v>
      </c>
      <c r="D497" s="12">
        <v>39492</v>
      </c>
    </row>
    <row r="498" spans="1:4">
      <c r="A498" s="12" t="s">
        <v>26</v>
      </c>
      <c r="B498" s="16" t="s">
        <v>667</v>
      </c>
      <c r="C498" s="12">
        <v>2</v>
      </c>
      <c r="D498" s="12">
        <v>40123</v>
      </c>
    </row>
    <row r="499" spans="1:4">
      <c r="A499" s="12" t="s">
        <v>6</v>
      </c>
      <c r="B499" s="17" t="s">
        <v>667</v>
      </c>
      <c r="C499" s="12">
        <v>2</v>
      </c>
      <c r="D499" s="12">
        <v>15181</v>
      </c>
    </row>
    <row r="500" spans="1:4">
      <c r="A500" s="12" t="s">
        <v>52</v>
      </c>
      <c r="B500" s="16" t="s">
        <v>675</v>
      </c>
      <c r="C500" s="12">
        <v>4</v>
      </c>
      <c r="D500" s="12">
        <v>34426</v>
      </c>
    </row>
    <row r="501" spans="1:4">
      <c r="A501" s="12" t="s">
        <v>105</v>
      </c>
      <c r="B501" s="18" t="s">
        <v>675</v>
      </c>
      <c r="C501" s="12">
        <v>4</v>
      </c>
      <c r="D501" s="12">
        <v>35958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F0E0B-2B91-4C7B-8228-AE58F3E4C517}">
  <dimension ref="A1:L19"/>
  <sheetViews>
    <sheetView topLeftCell="A16" workbookViewId="0">
      <selection activeCell="K11" sqref="K11"/>
    </sheetView>
  </sheetViews>
  <sheetFormatPr defaultRowHeight="15"/>
  <cols>
    <col min="1" max="1" width="22.42578125" customWidth="1"/>
    <col min="2" max="7" width="12.85546875" bestFit="1" customWidth="1"/>
    <col min="8" max="8" width="12" customWidth="1"/>
    <col min="13" max="13" width="19" customWidth="1"/>
  </cols>
  <sheetData>
    <row r="1" spans="1:12">
      <c r="A1" s="10" t="s">
        <v>664</v>
      </c>
      <c r="B1" t="s">
        <v>659</v>
      </c>
      <c r="C1" t="s">
        <v>660</v>
      </c>
      <c r="D1" s="10" t="s">
        <v>661</v>
      </c>
      <c r="E1" s="10" t="s">
        <v>662</v>
      </c>
      <c r="F1" s="10" t="s">
        <v>663</v>
      </c>
      <c r="G1" s="10" t="s">
        <v>680</v>
      </c>
      <c r="H1" s="10" t="s">
        <v>681</v>
      </c>
      <c r="I1" s="10"/>
      <c r="J1" s="10"/>
      <c r="K1" s="10"/>
      <c r="L1" s="10"/>
    </row>
    <row r="2" spans="1:12">
      <c r="A2" t="s">
        <v>16</v>
      </c>
      <c r="B2" s="10">
        <v>121122</v>
      </c>
      <c r="C2" s="10">
        <v>150230</v>
      </c>
      <c r="D2" s="10">
        <v>121531</v>
      </c>
      <c r="E2" s="10">
        <v>138713</v>
      </c>
      <c r="F2" s="10">
        <v>193497</v>
      </c>
      <c r="G2" s="10">
        <v>195628</v>
      </c>
      <c r="I2" s="10"/>
      <c r="J2" s="10"/>
      <c r="K2" s="10"/>
      <c r="L2" s="10"/>
    </row>
    <row r="3" spans="1:12">
      <c r="A3" t="s">
        <v>55</v>
      </c>
      <c r="B3" s="10">
        <v>311878</v>
      </c>
      <c r="C3" s="10">
        <v>137443</v>
      </c>
      <c r="D3" s="10">
        <v>117214</v>
      </c>
      <c r="E3" s="10">
        <v>175400</v>
      </c>
      <c r="F3" s="10">
        <v>286465</v>
      </c>
      <c r="G3" s="10">
        <v>56014</v>
      </c>
      <c r="I3" s="10"/>
      <c r="J3" s="10"/>
      <c r="K3" s="10"/>
      <c r="L3" s="10"/>
    </row>
    <row r="4" spans="1:12">
      <c r="A4" t="s">
        <v>105</v>
      </c>
      <c r="B4" s="10">
        <v>231187</v>
      </c>
      <c r="C4" s="10">
        <v>181558</v>
      </c>
      <c r="D4" s="10">
        <v>85966</v>
      </c>
      <c r="E4" s="10">
        <v>85620</v>
      </c>
      <c r="F4" s="10">
        <v>110015</v>
      </c>
      <c r="G4" s="10">
        <v>109421</v>
      </c>
      <c r="I4" s="10"/>
      <c r="J4" s="10"/>
      <c r="K4" s="10"/>
      <c r="L4" s="10"/>
    </row>
    <row r="5" spans="1:12">
      <c r="A5" t="s">
        <v>15</v>
      </c>
      <c r="B5" s="10">
        <v>277097</v>
      </c>
      <c r="C5" s="10">
        <v>157067</v>
      </c>
      <c r="D5" s="10">
        <v>187329</v>
      </c>
      <c r="E5" s="10">
        <v>215937</v>
      </c>
      <c r="F5" s="10">
        <v>289050</v>
      </c>
      <c r="G5" s="10">
        <v>154109</v>
      </c>
      <c r="I5" s="10"/>
      <c r="J5" s="10"/>
      <c r="K5" s="10"/>
      <c r="L5" s="10"/>
    </row>
    <row r="6" spans="1:12">
      <c r="A6" t="s">
        <v>26</v>
      </c>
      <c r="B6" s="10">
        <v>232262</v>
      </c>
      <c r="C6" s="10">
        <v>142057</v>
      </c>
      <c r="D6" s="10">
        <v>94792</v>
      </c>
      <c r="E6" s="10">
        <v>116245</v>
      </c>
      <c r="F6" s="10">
        <v>274567</v>
      </c>
      <c r="G6" s="10">
        <v>78791</v>
      </c>
      <c r="I6" s="10"/>
      <c r="J6" s="10"/>
      <c r="K6" s="10"/>
      <c r="L6" s="10"/>
    </row>
    <row r="7" spans="1:12">
      <c r="A7" t="s">
        <v>6</v>
      </c>
      <c r="B7" s="10">
        <v>264645</v>
      </c>
      <c r="C7" s="10">
        <v>284376</v>
      </c>
      <c r="D7" s="10">
        <v>282565</v>
      </c>
      <c r="E7" s="10">
        <v>174324</v>
      </c>
      <c r="F7" s="10">
        <v>169770</v>
      </c>
      <c r="G7" s="10">
        <v>115296</v>
      </c>
    </row>
    <row r="8" spans="1:12">
      <c r="A8" t="s">
        <v>79</v>
      </c>
      <c r="B8" s="10">
        <v>278178</v>
      </c>
      <c r="C8" s="10">
        <v>155454</v>
      </c>
      <c r="D8" s="10">
        <v>2622705</v>
      </c>
      <c r="E8" s="10">
        <v>242386</v>
      </c>
      <c r="F8" s="10">
        <v>148840</v>
      </c>
      <c r="G8" s="10">
        <v>159925</v>
      </c>
    </row>
    <row r="9" spans="1:12">
      <c r="A9" t="s">
        <v>12</v>
      </c>
      <c r="B9" s="10">
        <v>376242</v>
      </c>
      <c r="C9" s="10">
        <v>209510</v>
      </c>
      <c r="D9" s="10">
        <v>142901</v>
      </c>
      <c r="E9" s="10">
        <v>354895</v>
      </c>
      <c r="F9" s="10">
        <v>253803</v>
      </c>
      <c r="G9" s="10">
        <v>122276</v>
      </c>
    </row>
    <row r="10" spans="1:12">
      <c r="A10" t="s">
        <v>10</v>
      </c>
      <c r="B10" s="10">
        <v>211604</v>
      </c>
      <c r="C10" s="10">
        <v>53250</v>
      </c>
      <c r="D10" s="10">
        <v>145482</v>
      </c>
      <c r="E10" s="10">
        <v>277932</v>
      </c>
      <c r="F10" s="10">
        <v>128653</v>
      </c>
      <c r="G10" s="10">
        <v>30365</v>
      </c>
    </row>
    <row r="11" spans="1:12">
      <c r="A11" t="s">
        <v>59</v>
      </c>
      <c r="B11" s="10">
        <v>260499</v>
      </c>
      <c r="C11" s="10">
        <v>232467</v>
      </c>
      <c r="D11" s="10">
        <v>183940</v>
      </c>
      <c r="E11" s="10">
        <v>111297</v>
      </c>
      <c r="F11" s="10">
        <v>136796</v>
      </c>
      <c r="G11" s="10">
        <v>126808</v>
      </c>
    </row>
    <row r="12" spans="1:12">
      <c r="A12" t="s">
        <v>52</v>
      </c>
      <c r="B12" s="10">
        <v>238853</v>
      </c>
      <c r="C12" s="10">
        <v>179434</v>
      </c>
      <c r="D12" s="10">
        <v>226186</v>
      </c>
      <c r="E12" s="10">
        <v>196649</v>
      </c>
      <c r="F12" s="10">
        <v>278210</v>
      </c>
      <c r="G12" s="10">
        <v>75054</v>
      </c>
    </row>
    <row r="13" spans="1:12">
      <c r="A13" t="s">
        <v>13</v>
      </c>
      <c r="B13" s="10">
        <v>238853</v>
      </c>
      <c r="C13" s="10">
        <v>70083</v>
      </c>
      <c r="D13" s="10">
        <v>222216</v>
      </c>
      <c r="E13" s="10">
        <v>141434</v>
      </c>
      <c r="F13" s="10">
        <v>96953</v>
      </c>
      <c r="G13" s="10">
        <v>69466</v>
      </c>
    </row>
    <row r="14" spans="1:12">
      <c r="A14" t="s">
        <v>682</v>
      </c>
      <c r="B14" s="10">
        <f>SUM(B2:B13)</f>
        <v>3042420</v>
      </c>
      <c r="C14" s="10">
        <f t="shared" ref="C14:G14" si="0">SUM(C2:C13)</f>
        <v>1952929</v>
      </c>
      <c r="D14" s="10">
        <f t="shared" si="0"/>
        <v>4432827</v>
      </c>
      <c r="E14" s="10">
        <f t="shared" si="0"/>
        <v>2230832</v>
      </c>
      <c r="F14" s="10">
        <f t="shared" si="0"/>
        <v>2366619</v>
      </c>
      <c r="G14" s="10">
        <f t="shared" si="0"/>
        <v>1293153</v>
      </c>
    </row>
    <row r="19" spans="2:2">
      <c r="B19" s="10"/>
    </row>
  </sheetData>
  <pageMargins left="0.7" right="0.7" top="0.75" bottom="0.75" header="0.3" footer="0.3"/>
  <tableParts count="1">
    <tablePart r:id="rId1"/>
  </tableParts>
  <extLst>
    <ext xmlns:x14="http://schemas.microsoft.com/office/spreadsheetml/2009/9/main" uri="{05C60535-1F16-4fd2-B633-F4F36F0B64E0}">
      <x14:sparklineGroups xmlns:xm="http://schemas.microsoft.com/office/excel/2006/main">
        <x14:sparklineGroup displayEmptyCellsAs="gap" xr2:uid="{1E2A1D1D-AD3A-4657-B417-8DBE04E771B2}">
          <x14:colorSeries theme="9" tint="-0.499984740745262"/>
          <x14:colorNegative theme="4"/>
          <x14:colorAxis rgb="FF000000"/>
          <x14:colorMarkers theme="9" tint="-0.499984740745262"/>
          <x14:colorFirst theme="9" tint="0.39997558519241921"/>
          <x14:colorLast theme="9" tint="0.39997558519241921"/>
          <x14:colorHigh theme="9"/>
          <x14:colorLow theme="9"/>
          <x14:sparklines>
            <x14:sparkline>
              <xm:f>Sparkline!M5:M5</xm:f>
              <xm:sqref>M5</xm:sqref>
            </x14:sparkline>
            <x14:sparkline>
              <xm:f>Sparkline!M6:M6</xm:f>
              <xm:sqref>M6</xm:sqref>
            </x14:sparkline>
            <x14:sparkline>
              <xm:f>Sparkline!M7:M7</xm:f>
              <xm:sqref>M7</xm:sqref>
            </x14:sparkline>
            <x14:sparkline>
              <xm:f>Sparkline!M8:M8</xm:f>
              <xm:sqref>M8</xm:sqref>
            </x14:sparkline>
            <x14:sparkline>
              <xm:f>Sparkline!M9:M9</xm:f>
              <xm:sqref>M9</xm:sqref>
            </x14:sparkline>
            <x14:sparkline>
              <xm:f>Sparkline!M10:M10</xm:f>
              <xm:sqref>M10</xm:sqref>
            </x14:sparkline>
            <x14:sparkline>
              <xm:f>Sparkline!M11:M11</xm:f>
              <xm:sqref>M11</xm:sqref>
            </x14:sparkline>
            <x14:sparkline>
              <xm:f>Sparkline!M12:M12</xm:f>
              <xm:sqref>M12</xm:sqref>
            </x14:sparkline>
            <x14:sparkline>
              <xm:f>Sparkline!M13:M13</xm:f>
              <xm:sqref>M13</xm:sqref>
            </x14:sparkline>
            <x14:sparkline>
              <xm:f>Sparkline!M14:M14</xm:f>
              <xm:sqref>M14</xm:sqref>
            </x14:sparkline>
            <x14:sparkline>
              <xm:f>Sparkline!M15:M15</xm:f>
              <xm:sqref>M15</xm:sqref>
            </x14:sparkline>
            <x14:sparkline>
              <xm:f>Sparkline!M16:M16</xm:f>
              <xm:sqref>M16</xm:sqref>
            </x14:sparkline>
          </x14:sparklines>
        </x14:sparklineGroup>
        <x14:sparklineGroup type="column" displayEmptyCellsAs="gap" markers="1" high="1" xr2:uid="{27F80DD0-C5DA-41FE-AF39-7F6A1D9EB63C}">
          <x14:colorSeries theme="7" tint="-0.249977111117893"/>
          <x14:colorNegative theme="8"/>
          <x14:colorAxis rgb="FF000000"/>
          <x14:colorMarkers theme="8" tint="-0.249977111117893"/>
          <x14:colorFirst theme="8" tint="-0.249977111117893"/>
          <x14:colorLast theme="8" tint="-0.249977111117893"/>
          <x14:colorHigh theme="8" tint="-0.249977111117893"/>
          <x14:colorLow theme="8" tint="-0.249977111117893"/>
          <x14:sparklines>
            <x14:sparkline>
              <xm:f>Sparkline!A2:G2</xm:f>
              <xm:sqref>H2</xm:sqref>
            </x14:sparkline>
            <x14:sparkline>
              <xm:f>Sparkline!A3:G3</xm:f>
              <xm:sqref>H3</xm:sqref>
            </x14:sparkline>
            <x14:sparkline>
              <xm:f>Sparkline!A4:G4</xm:f>
              <xm:sqref>H4</xm:sqref>
            </x14:sparkline>
            <x14:sparkline>
              <xm:f>Sparkline!A5:G5</xm:f>
              <xm:sqref>H5</xm:sqref>
            </x14:sparkline>
            <x14:sparkline>
              <xm:f>Sparkline!A6:G6</xm:f>
              <xm:sqref>H6</xm:sqref>
            </x14:sparkline>
            <x14:sparkline>
              <xm:f>Sparkline!A7:G7</xm:f>
              <xm:sqref>H7</xm:sqref>
            </x14:sparkline>
            <x14:sparkline>
              <xm:f>Sparkline!A8:G8</xm:f>
              <xm:sqref>H8</xm:sqref>
            </x14:sparkline>
            <x14:sparkline>
              <xm:f>Sparkline!A9:G9</xm:f>
              <xm:sqref>H9</xm:sqref>
            </x14:sparkline>
            <x14:sparkline>
              <xm:f>Sparkline!A10:G10</xm:f>
              <xm:sqref>H10</xm:sqref>
            </x14:sparkline>
            <x14:sparkline>
              <xm:f>Sparkline!A11:G11</xm:f>
              <xm:sqref>H11</xm:sqref>
            </x14:sparkline>
            <x14:sparkline>
              <xm:f>Sparkline!A12:G12</xm:f>
              <xm:sqref>H12</xm:sqref>
            </x14:sparkline>
            <x14:sparkline>
              <xm:f>Sparkline!A13:G13</xm:f>
              <xm:sqref>H13</xm:sqref>
            </x14:sparkline>
            <x14:sparkline>
              <xm:f>Sparkline!A14:G14</xm:f>
              <xm:sqref>H14</xm:sqref>
            </x14:sparkline>
          </x14:sparklines>
        </x14:sparklineGroup>
      </x14:sparklineGroup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86F42F-954C-45B9-9D8E-221EB84D06E1}">
  <dimension ref="A1:L501"/>
  <sheetViews>
    <sheetView topLeftCell="A514" workbookViewId="0">
      <selection activeCell="N8" sqref="N8"/>
    </sheetView>
  </sheetViews>
  <sheetFormatPr defaultRowHeight="15"/>
  <cols>
    <col min="1" max="1" width="13.5703125" bestFit="1" customWidth="1"/>
    <col min="2" max="2" width="16.7109375" bestFit="1" customWidth="1"/>
    <col min="3" max="3" width="11.42578125" bestFit="1" customWidth="1"/>
    <col min="4" max="4" width="10.5703125" bestFit="1" customWidth="1"/>
    <col min="5" max="5" width="10.42578125" bestFit="1" customWidth="1"/>
    <col min="6" max="6" width="7.85546875" bestFit="1" customWidth="1"/>
    <col min="7" max="7" width="14.5703125" bestFit="1" customWidth="1"/>
    <col min="8" max="8" width="10.140625" bestFit="1" customWidth="1"/>
    <col min="9" max="9" width="15.140625" bestFit="1" customWidth="1"/>
    <col min="10" max="10" width="14.7109375" bestFit="1" customWidth="1"/>
    <col min="11" max="11" width="17.140625" bestFit="1" customWidth="1"/>
    <col min="13" max="13" width="12.5703125" bestFit="1" customWidth="1"/>
  </cols>
  <sheetData>
    <row r="1" spans="1:12">
      <c r="A1" s="28" t="s">
        <v>22</v>
      </c>
      <c r="B1" s="28" t="s">
        <v>23</v>
      </c>
      <c r="C1" s="28" t="s">
        <v>0</v>
      </c>
      <c r="D1" s="28" t="s">
        <v>1</v>
      </c>
      <c r="E1" s="28" t="s">
        <v>2</v>
      </c>
      <c r="F1" s="28" t="s">
        <v>3</v>
      </c>
      <c r="G1" s="28" t="s">
        <v>644</v>
      </c>
      <c r="H1" s="28" t="s">
        <v>4</v>
      </c>
      <c r="I1" s="29" t="s">
        <v>658</v>
      </c>
      <c r="J1" s="29" t="s">
        <v>5</v>
      </c>
      <c r="K1" s="28" t="s">
        <v>665</v>
      </c>
      <c r="L1" s="28" t="s">
        <v>666</v>
      </c>
    </row>
    <row r="2" spans="1:12">
      <c r="A2" t="s">
        <v>24</v>
      </c>
      <c r="B2" t="s">
        <v>25</v>
      </c>
      <c r="C2" t="s">
        <v>26</v>
      </c>
      <c r="D2" s="9" t="s">
        <v>7</v>
      </c>
      <c r="E2">
        <v>1</v>
      </c>
      <c r="F2">
        <v>37967</v>
      </c>
      <c r="G2">
        <f>SUM(F2*E2)</f>
        <v>37967</v>
      </c>
      <c r="H2" t="s">
        <v>27</v>
      </c>
      <c r="I2" s="14" t="s">
        <v>8</v>
      </c>
      <c r="J2" s="1">
        <v>4.0999999999999996</v>
      </c>
      <c r="K2" s="8" t="s">
        <v>668</v>
      </c>
      <c r="L2" s="8">
        <v>2026</v>
      </c>
    </row>
    <row r="3" spans="1:12">
      <c r="A3" t="s">
        <v>28</v>
      </c>
      <c r="B3" t="s">
        <v>29</v>
      </c>
      <c r="C3" t="s">
        <v>26</v>
      </c>
      <c r="D3" s="9" t="s">
        <v>7</v>
      </c>
      <c r="E3">
        <v>5</v>
      </c>
      <c r="F3">
        <v>11247</v>
      </c>
      <c r="G3">
        <f t="shared" ref="G3:G66" si="0">SUM(F3*E3)</f>
        <v>56235</v>
      </c>
      <c r="H3" t="s">
        <v>27</v>
      </c>
      <c r="I3" s="14" t="s">
        <v>30</v>
      </c>
      <c r="J3" s="1">
        <v>3.2</v>
      </c>
      <c r="K3" s="8" t="s">
        <v>654</v>
      </c>
      <c r="L3" s="8">
        <v>2026</v>
      </c>
    </row>
    <row r="4" spans="1:12">
      <c r="A4" t="s">
        <v>31</v>
      </c>
      <c r="B4" t="s">
        <v>32</v>
      </c>
      <c r="C4" t="s">
        <v>16</v>
      </c>
      <c r="D4" t="s">
        <v>14</v>
      </c>
      <c r="E4">
        <v>5</v>
      </c>
      <c r="F4">
        <v>16393</v>
      </c>
      <c r="G4">
        <f t="shared" si="0"/>
        <v>81965</v>
      </c>
      <c r="H4" t="s">
        <v>27</v>
      </c>
      <c r="I4" s="14" t="s">
        <v>30</v>
      </c>
      <c r="J4" s="1">
        <v>4.2</v>
      </c>
      <c r="K4" s="8" t="s">
        <v>668</v>
      </c>
      <c r="L4" s="8">
        <v>2026</v>
      </c>
    </row>
    <row r="5" spans="1:12">
      <c r="A5" t="s">
        <v>33</v>
      </c>
      <c r="B5" t="s">
        <v>34</v>
      </c>
      <c r="C5" t="s">
        <v>10</v>
      </c>
      <c r="D5" t="s">
        <v>11</v>
      </c>
      <c r="E5">
        <v>3</v>
      </c>
      <c r="F5">
        <v>45821</v>
      </c>
      <c r="G5">
        <f t="shared" si="0"/>
        <v>137463</v>
      </c>
      <c r="H5" t="s">
        <v>35</v>
      </c>
      <c r="I5" s="14" t="s">
        <v>30</v>
      </c>
      <c r="J5" s="1">
        <v>3.2</v>
      </c>
      <c r="K5" s="8" t="s">
        <v>668</v>
      </c>
      <c r="L5" s="8">
        <v>2026</v>
      </c>
    </row>
    <row r="6" spans="1:12">
      <c r="A6" t="s">
        <v>36</v>
      </c>
      <c r="B6" t="s">
        <v>37</v>
      </c>
      <c r="C6" t="s">
        <v>12</v>
      </c>
      <c r="D6" s="9" t="s">
        <v>7</v>
      </c>
      <c r="E6">
        <v>4</v>
      </c>
      <c r="F6">
        <v>22075</v>
      </c>
      <c r="G6">
        <f t="shared" si="0"/>
        <v>88300</v>
      </c>
      <c r="H6" t="s">
        <v>27</v>
      </c>
      <c r="I6" s="14" t="s">
        <v>30</v>
      </c>
      <c r="J6" s="1">
        <v>4.5</v>
      </c>
      <c r="K6" s="8" t="s">
        <v>654</v>
      </c>
      <c r="L6" s="8">
        <v>2026</v>
      </c>
    </row>
    <row r="7" spans="1:12">
      <c r="A7" t="s">
        <v>38</v>
      </c>
      <c r="B7" t="s">
        <v>39</v>
      </c>
      <c r="C7" t="s">
        <v>12</v>
      </c>
      <c r="D7" s="9" t="s">
        <v>7</v>
      </c>
      <c r="E7">
        <v>5</v>
      </c>
      <c r="F7">
        <v>42377</v>
      </c>
      <c r="G7">
        <f t="shared" si="0"/>
        <v>211885</v>
      </c>
      <c r="H7" t="s">
        <v>9</v>
      </c>
      <c r="I7" s="14" t="s">
        <v>40</v>
      </c>
      <c r="J7" s="1">
        <v>3</v>
      </c>
      <c r="K7" s="8" t="s">
        <v>668</v>
      </c>
      <c r="L7" s="8">
        <v>2026</v>
      </c>
    </row>
    <row r="8" spans="1:12">
      <c r="A8" t="s">
        <v>41</v>
      </c>
      <c r="B8" t="s">
        <v>42</v>
      </c>
      <c r="C8" t="s">
        <v>13</v>
      </c>
      <c r="D8" t="s">
        <v>14</v>
      </c>
      <c r="E8">
        <v>1</v>
      </c>
      <c r="F8">
        <v>21701</v>
      </c>
      <c r="G8">
        <f t="shared" si="0"/>
        <v>21701</v>
      </c>
      <c r="H8" t="s">
        <v>35</v>
      </c>
      <c r="I8" s="14" t="s">
        <v>43</v>
      </c>
      <c r="J8" s="1">
        <v>4.5999999999999996</v>
      </c>
      <c r="K8" s="8" t="s">
        <v>668</v>
      </c>
      <c r="L8" s="8">
        <v>2026</v>
      </c>
    </row>
    <row r="9" spans="1:12">
      <c r="A9" t="s">
        <v>44</v>
      </c>
      <c r="B9" t="s">
        <v>45</v>
      </c>
      <c r="C9" t="s">
        <v>15</v>
      </c>
      <c r="D9" t="s">
        <v>7</v>
      </c>
      <c r="E9">
        <v>2</v>
      </c>
      <c r="F9">
        <v>46987</v>
      </c>
      <c r="G9">
        <f t="shared" si="0"/>
        <v>93974</v>
      </c>
      <c r="H9" t="s">
        <v>46</v>
      </c>
      <c r="I9" s="14" t="s">
        <v>8</v>
      </c>
      <c r="J9" s="1">
        <v>4.3</v>
      </c>
      <c r="K9" s="8" t="s">
        <v>669</v>
      </c>
      <c r="L9" s="8">
        <v>2026</v>
      </c>
    </row>
    <row r="10" spans="1:12">
      <c r="A10" t="s">
        <v>47</v>
      </c>
      <c r="B10" t="s">
        <v>48</v>
      </c>
      <c r="C10" t="s">
        <v>26</v>
      </c>
      <c r="D10" s="9" t="s">
        <v>7</v>
      </c>
      <c r="E10">
        <v>5</v>
      </c>
      <c r="F10">
        <v>30497</v>
      </c>
      <c r="G10">
        <f t="shared" si="0"/>
        <v>152485</v>
      </c>
      <c r="H10" t="s">
        <v>49</v>
      </c>
      <c r="I10" s="14" t="s">
        <v>30</v>
      </c>
      <c r="J10" s="1">
        <v>3.1</v>
      </c>
      <c r="K10" s="8" t="s">
        <v>670</v>
      </c>
      <c r="L10" s="8">
        <v>2026</v>
      </c>
    </row>
    <row r="11" spans="1:12">
      <c r="A11" t="s">
        <v>50</v>
      </c>
      <c r="B11" t="s">
        <v>51</v>
      </c>
      <c r="C11" t="s">
        <v>52</v>
      </c>
      <c r="D11" t="s">
        <v>11</v>
      </c>
      <c r="E11">
        <v>1</v>
      </c>
      <c r="F11">
        <v>47360</v>
      </c>
      <c r="G11">
        <f t="shared" si="0"/>
        <v>47360</v>
      </c>
      <c r="H11" t="s">
        <v>35</v>
      </c>
      <c r="I11" s="14" t="s">
        <v>43</v>
      </c>
      <c r="J11" s="1">
        <v>4.5999999999999996</v>
      </c>
      <c r="K11" s="8" t="s">
        <v>671</v>
      </c>
      <c r="L11" s="8">
        <v>2026</v>
      </c>
    </row>
    <row r="12" spans="1:12">
      <c r="A12" t="s">
        <v>53</v>
      </c>
      <c r="B12" t="s">
        <v>54</v>
      </c>
      <c r="C12" t="s">
        <v>55</v>
      </c>
      <c r="D12" t="s">
        <v>56</v>
      </c>
      <c r="E12">
        <v>4</v>
      </c>
      <c r="F12">
        <v>44317</v>
      </c>
      <c r="G12">
        <f t="shared" si="0"/>
        <v>177268</v>
      </c>
      <c r="H12" t="s">
        <v>49</v>
      </c>
      <c r="I12" s="14" t="s">
        <v>8</v>
      </c>
      <c r="J12" s="1">
        <v>3.7</v>
      </c>
      <c r="K12" s="8" t="s">
        <v>654</v>
      </c>
      <c r="L12" s="8">
        <v>2026</v>
      </c>
    </row>
    <row r="13" spans="1:12">
      <c r="A13" t="s">
        <v>57</v>
      </c>
      <c r="B13" t="s">
        <v>58</v>
      </c>
      <c r="C13" t="s">
        <v>59</v>
      </c>
      <c r="D13" s="9" t="s">
        <v>7</v>
      </c>
      <c r="E13">
        <v>3</v>
      </c>
      <c r="F13">
        <v>35810</v>
      </c>
      <c r="G13">
        <f t="shared" si="0"/>
        <v>107430</v>
      </c>
      <c r="H13" t="s">
        <v>49</v>
      </c>
      <c r="I13" s="14" t="s">
        <v>43</v>
      </c>
      <c r="J13" s="1">
        <v>3.1</v>
      </c>
      <c r="K13" s="8" t="s">
        <v>669</v>
      </c>
      <c r="L13" s="8">
        <v>2026</v>
      </c>
    </row>
    <row r="14" spans="1:12">
      <c r="A14" t="s">
        <v>60</v>
      </c>
      <c r="B14" t="s">
        <v>61</v>
      </c>
      <c r="C14" t="s">
        <v>16</v>
      </c>
      <c r="D14" t="s">
        <v>14</v>
      </c>
      <c r="E14">
        <v>1</v>
      </c>
      <c r="F14">
        <v>48794</v>
      </c>
      <c r="G14">
        <f t="shared" si="0"/>
        <v>48794</v>
      </c>
      <c r="H14" t="s">
        <v>27</v>
      </c>
      <c r="I14" s="14" t="s">
        <v>30</v>
      </c>
      <c r="J14" s="1">
        <v>4.8</v>
      </c>
      <c r="K14" s="8" t="s">
        <v>668</v>
      </c>
      <c r="L14" s="8">
        <v>2026</v>
      </c>
    </row>
    <row r="15" spans="1:12">
      <c r="A15" t="s">
        <v>62</v>
      </c>
      <c r="B15" t="s">
        <v>63</v>
      </c>
      <c r="C15" t="s">
        <v>12</v>
      </c>
      <c r="D15" s="9" t="s">
        <v>7</v>
      </c>
      <c r="E15">
        <v>4</v>
      </c>
      <c r="F15">
        <v>30177</v>
      </c>
      <c r="G15">
        <f t="shared" si="0"/>
        <v>120708</v>
      </c>
      <c r="H15" t="s">
        <v>64</v>
      </c>
      <c r="I15" s="14" t="s">
        <v>65</v>
      </c>
      <c r="J15" s="1">
        <v>3.5</v>
      </c>
      <c r="K15" s="8" t="s">
        <v>669</v>
      </c>
      <c r="L15" s="8">
        <v>2026</v>
      </c>
    </row>
    <row r="16" spans="1:12">
      <c r="A16" t="s">
        <v>66</v>
      </c>
      <c r="B16" t="s">
        <v>67</v>
      </c>
      <c r="C16" t="s">
        <v>12</v>
      </c>
      <c r="D16" s="9" t="s">
        <v>7</v>
      </c>
      <c r="E16">
        <v>4</v>
      </c>
      <c r="F16">
        <v>9100</v>
      </c>
      <c r="G16">
        <f t="shared" si="0"/>
        <v>36400</v>
      </c>
      <c r="H16" t="s">
        <v>64</v>
      </c>
      <c r="I16" s="14" t="s">
        <v>43</v>
      </c>
      <c r="J16" s="1">
        <v>4.5</v>
      </c>
      <c r="K16" s="8" t="s">
        <v>669</v>
      </c>
      <c r="L16" s="8">
        <v>2026</v>
      </c>
    </row>
    <row r="17" spans="1:12">
      <c r="A17" t="s">
        <v>68</v>
      </c>
      <c r="B17" t="s">
        <v>69</v>
      </c>
      <c r="C17" t="s">
        <v>12</v>
      </c>
      <c r="D17" s="9" t="s">
        <v>7</v>
      </c>
      <c r="E17">
        <v>1</v>
      </c>
      <c r="F17">
        <v>20457</v>
      </c>
      <c r="G17">
        <f t="shared" si="0"/>
        <v>20457</v>
      </c>
      <c r="H17" t="s">
        <v>46</v>
      </c>
      <c r="I17" s="14" t="s">
        <v>40</v>
      </c>
      <c r="J17" s="1">
        <v>4</v>
      </c>
      <c r="K17" s="8" t="s">
        <v>670</v>
      </c>
      <c r="L17" s="8">
        <v>2026</v>
      </c>
    </row>
    <row r="18" spans="1:12">
      <c r="A18" t="s">
        <v>70</v>
      </c>
      <c r="B18" t="s">
        <v>71</v>
      </c>
      <c r="C18" t="s">
        <v>26</v>
      </c>
      <c r="D18" s="9" t="s">
        <v>7</v>
      </c>
      <c r="E18">
        <v>4</v>
      </c>
      <c r="F18">
        <v>20772</v>
      </c>
      <c r="G18">
        <f t="shared" si="0"/>
        <v>83088</v>
      </c>
      <c r="H18" t="s">
        <v>35</v>
      </c>
      <c r="I18" s="14" t="s">
        <v>30</v>
      </c>
      <c r="J18" s="1">
        <v>4.8</v>
      </c>
      <c r="K18" s="8" t="s">
        <v>671</v>
      </c>
      <c r="L18" s="8">
        <v>2026</v>
      </c>
    </row>
    <row r="19" spans="1:12">
      <c r="A19" t="s">
        <v>72</v>
      </c>
      <c r="B19" t="s">
        <v>73</v>
      </c>
      <c r="C19" t="s">
        <v>6</v>
      </c>
      <c r="D19" s="9" t="s">
        <v>7</v>
      </c>
      <c r="E19">
        <v>1</v>
      </c>
      <c r="F19">
        <v>24756</v>
      </c>
      <c r="G19">
        <f t="shared" si="0"/>
        <v>24756</v>
      </c>
      <c r="H19" t="s">
        <v>74</v>
      </c>
      <c r="I19" s="14" t="s">
        <v>30</v>
      </c>
      <c r="J19" s="1">
        <v>4</v>
      </c>
      <c r="K19" s="8" t="s">
        <v>670</v>
      </c>
      <c r="L19" s="8">
        <v>2026</v>
      </c>
    </row>
    <row r="20" spans="1:12">
      <c r="A20" t="s">
        <v>75</v>
      </c>
      <c r="B20" t="s">
        <v>76</v>
      </c>
      <c r="C20" t="s">
        <v>52</v>
      </c>
      <c r="D20" t="s">
        <v>11</v>
      </c>
      <c r="E20">
        <v>4</v>
      </c>
      <c r="F20">
        <v>43683</v>
      </c>
      <c r="G20">
        <f t="shared" si="0"/>
        <v>174732</v>
      </c>
      <c r="H20" t="s">
        <v>9</v>
      </c>
      <c r="I20" s="14" t="s">
        <v>43</v>
      </c>
      <c r="J20" s="1">
        <v>4.2</v>
      </c>
      <c r="K20" s="8" t="s">
        <v>654</v>
      </c>
      <c r="L20" s="8">
        <v>2026</v>
      </c>
    </row>
    <row r="21" spans="1:12">
      <c r="A21" t="s">
        <v>77</v>
      </c>
      <c r="B21" t="s">
        <v>78</v>
      </c>
      <c r="C21" t="s">
        <v>79</v>
      </c>
      <c r="D21" t="s">
        <v>80</v>
      </c>
      <c r="E21">
        <v>2</v>
      </c>
      <c r="F21">
        <v>11207</v>
      </c>
      <c r="G21">
        <f t="shared" si="0"/>
        <v>22414</v>
      </c>
      <c r="H21" t="s">
        <v>27</v>
      </c>
      <c r="I21" s="14" t="s">
        <v>40</v>
      </c>
      <c r="J21" s="1">
        <v>3.4</v>
      </c>
      <c r="K21" s="8" t="s">
        <v>671</v>
      </c>
      <c r="L21" s="8">
        <v>2026</v>
      </c>
    </row>
    <row r="22" spans="1:12">
      <c r="A22" t="s">
        <v>81</v>
      </c>
      <c r="B22" t="s">
        <v>82</v>
      </c>
      <c r="C22" t="s">
        <v>6</v>
      </c>
      <c r="D22" s="9" t="s">
        <v>7</v>
      </c>
      <c r="E22">
        <v>5</v>
      </c>
      <c r="F22">
        <v>8723</v>
      </c>
      <c r="G22">
        <f t="shared" si="0"/>
        <v>43615</v>
      </c>
      <c r="H22" t="s">
        <v>49</v>
      </c>
      <c r="I22" s="14" t="s">
        <v>65</v>
      </c>
      <c r="J22" s="1">
        <v>4</v>
      </c>
      <c r="K22" s="8" t="s">
        <v>671</v>
      </c>
      <c r="L22" s="8">
        <v>2026</v>
      </c>
    </row>
    <row r="23" spans="1:12">
      <c r="A23" t="s">
        <v>83</v>
      </c>
      <c r="B23" t="s">
        <v>84</v>
      </c>
      <c r="C23" t="s">
        <v>79</v>
      </c>
      <c r="D23" t="s">
        <v>80</v>
      </c>
      <c r="E23">
        <v>4</v>
      </c>
      <c r="F23">
        <v>14367</v>
      </c>
      <c r="G23">
        <f t="shared" si="0"/>
        <v>57468</v>
      </c>
      <c r="H23" t="s">
        <v>49</v>
      </c>
      <c r="I23" s="14" t="s">
        <v>40</v>
      </c>
      <c r="J23" s="1">
        <v>3.5</v>
      </c>
      <c r="K23" s="8" t="s">
        <v>672</v>
      </c>
      <c r="L23" s="8">
        <v>2026</v>
      </c>
    </row>
    <row r="24" spans="1:12">
      <c r="A24" t="s">
        <v>85</v>
      </c>
      <c r="B24" t="s">
        <v>86</v>
      </c>
      <c r="C24" t="s">
        <v>55</v>
      </c>
      <c r="D24" t="s">
        <v>56</v>
      </c>
      <c r="E24">
        <v>1</v>
      </c>
      <c r="F24">
        <v>35805</v>
      </c>
      <c r="G24">
        <f t="shared" si="0"/>
        <v>35805</v>
      </c>
      <c r="H24" t="s">
        <v>46</v>
      </c>
      <c r="I24" s="14" t="s">
        <v>40</v>
      </c>
      <c r="J24" s="1">
        <v>4.9000000000000004</v>
      </c>
      <c r="K24" s="8" t="s">
        <v>668</v>
      </c>
      <c r="L24" s="8">
        <v>2026</v>
      </c>
    </row>
    <row r="25" spans="1:12">
      <c r="A25" t="s">
        <v>87</v>
      </c>
      <c r="B25" t="s">
        <v>69</v>
      </c>
      <c r="C25" t="s">
        <v>16</v>
      </c>
      <c r="D25" t="s">
        <v>14</v>
      </c>
      <c r="E25">
        <v>1</v>
      </c>
      <c r="F25">
        <v>39399</v>
      </c>
      <c r="G25">
        <f t="shared" si="0"/>
        <v>39399</v>
      </c>
      <c r="H25" t="s">
        <v>74</v>
      </c>
      <c r="I25" s="14" t="s">
        <v>65</v>
      </c>
      <c r="J25" s="1">
        <v>3.8</v>
      </c>
      <c r="K25" s="8" t="s">
        <v>671</v>
      </c>
      <c r="L25" s="8">
        <v>2026</v>
      </c>
    </row>
    <row r="26" spans="1:12">
      <c r="A26" t="s">
        <v>88</v>
      </c>
      <c r="B26" t="s">
        <v>89</v>
      </c>
      <c r="C26" t="s">
        <v>10</v>
      </c>
      <c r="D26" t="s">
        <v>11</v>
      </c>
      <c r="E26">
        <v>3</v>
      </c>
      <c r="F26">
        <v>14586</v>
      </c>
      <c r="G26">
        <f t="shared" si="0"/>
        <v>43758</v>
      </c>
      <c r="H26" t="s">
        <v>35</v>
      </c>
      <c r="I26" s="14" t="s">
        <v>8</v>
      </c>
      <c r="J26" s="1">
        <v>3.2</v>
      </c>
      <c r="K26" s="8" t="s">
        <v>671</v>
      </c>
      <c r="L26" s="8">
        <v>2026</v>
      </c>
    </row>
    <row r="27" spans="1:12">
      <c r="A27" t="s">
        <v>90</v>
      </c>
      <c r="B27" t="s">
        <v>91</v>
      </c>
      <c r="C27" t="s">
        <v>79</v>
      </c>
      <c r="D27" t="s">
        <v>80</v>
      </c>
      <c r="E27">
        <v>4</v>
      </c>
      <c r="F27">
        <v>6968</v>
      </c>
      <c r="G27">
        <f t="shared" si="0"/>
        <v>27872</v>
      </c>
      <c r="H27" t="s">
        <v>46</v>
      </c>
      <c r="I27" s="14" t="s">
        <v>65</v>
      </c>
      <c r="J27" s="1">
        <v>4.9000000000000004</v>
      </c>
      <c r="K27" s="8" t="s">
        <v>668</v>
      </c>
      <c r="L27" s="8">
        <v>2026</v>
      </c>
    </row>
    <row r="28" spans="1:12">
      <c r="A28" t="s">
        <v>92</v>
      </c>
      <c r="B28" t="s">
        <v>93</v>
      </c>
      <c r="C28" t="s">
        <v>12</v>
      </c>
      <c r="D28" s="9" t="s">
        <v>7</v>
      </c>
      <c r="E28">
        <v>4</v>
      </c>
      <c r="F28">
        <v>46523</v>
      </c>
      <c r="G28">
        <f t="shared" si="0"/>
        <v>186092</v>
      </c>
      <c r="H28" t="s">
        <v>49</v>
      </c>
      <c r="I28" s="14" t="s">
        <v>8</v>
      </c>
      <c r="J28" s="1">
        <v>4.9000000000000004</v>
      </c>
      <c r="K28" s="8" t="s">
        <v>654</v>
      </c>
      <c r="L28" s="8">
        <v>2026</v>
      </c>
    </row>
    <row r="29" spans="1:12">
      <c r="A29" t="s">
        <v>94</v>
      </c>
      <c r="B29" t="s">
        <v>95</v>
      </c>
      <c r="C29" t="s">
        <v>12</v>
      </c>
      <c r="D29" s="9" t="s">
        <v>7</v>
      </c>
      <c r="E29">
        <v>4</v>
      </c>
      <c r="F29">
        <v>46272</v>
      </c>
      <c r="G29">
        <f t="shared" si="0"/>
        <v>185088</v>
      </c>
      <c r="H29" t="s">
        <v>27</v>
      </c>
      <c r="I29" s="14" t="s">
        <v>65</v>
      </c>
      <c r="J29" s="1">
        <v>3.7</v>
      </c>
      <c r="K29" s="8" t="s">
        <v>672</v>
      </c>
      <c r="L29" s="8">
        <v>2026</v>
      </c>
    </row>
    <row r="30" spans="1:12">
      <c r="A30" t="s">
        <v>96</v>
      </c>
      <c r="B30" t="s">
        <v>45</v>
      </c>
      <c r="C30" t="s">
        <v>26</v>
      </c>
      <c r="D30" s="9" t="s">
        <v>7</v>
      </c>
      <c r="E30">
        <v>1</v>
      </c>
      <c r="F30">
        <v>25538</v>
      </c>
      <c r="G30">
        <f t="shared" si="0"/>
        <v>25538</v>
      </c>
      <c r="H30" t="s">
        <v>46</v>
      </c>
      <c r="I30" s="14" t="s">
        <v>8</v>
      </c>
      <c r="J30" s="1">
        <v>4</v>
      </c>
      <c r="K30" s="8" t="s">
        <v>668</v>
      </c>
      <c r="L30" s="8">
        <v>2026</v>
      </c>
    </row>
    <row r="31" spans="1:12">
      <c r="A31" t="s">
        <v>97</v>
      </c>
      <c r="B31" t="s">
        <v>98</v>
      </c>
      <c r="C31" t="s">
        <v>15</v>
      </c>
      <c r="D31" s="9" t="s">
        <v>7</v>
      </c>
      <c r="E31">
        <v>5</v>
      </c>
      <c r="F31">
        <v>13923</v>
      </c>
      <c r="G31">
        <f t="shared" si="0"/>
        <v>69615</v>
      </c>
      <c r="H31" t="s">
        <v>74</v>
      </c>
      <c r="I31" s="14" t="s">
        <v>8</v>
      </c>
      <c r="J31" s="1">
        <v>3.9</v>
      </c>
      <c r="K31" s="8" t="s">
        <v>671</v>
      </c>
      <c r="L31" s="8">
        <v>2026</v>
      </c>
    </row>
    <row r="32" spans="1:12">
      <c r="A32" t="s">
        <v>99</v>
      </c>
      <c r="B32" t="s">
        <v>100</v>
      </c>
      <c r="C32" t="s">
        <v>26</v>
      </c>
      <c r="D32" s="9" t="s">
        <v>7</v>
      </c>
      <c r="E32">
        <v>4</v>
      </c>
      <c r="F32">
        <v>45484</v>
      </c>
      <c r="G32">
        <f t="shared" si="0"/>
        <v>181936</v>
      </c>
      <c r="H32" t="s">
        <v>35</v>
      </c>
      <c r="I32" s="14" t="s">
        <v>30</v>
      </c>
      <c r="J32" s="1">
        <v>3.3</v>
      </c>
      <c r="K32" s="8" t="s">
        <v>654</v>
      </c>
      <c r="L32" s="8">
        <v>2026</v>
      </c>
    </row>
    <row r="33" spans="1:12">
      <c r="A33" t="s">
        <v>101</v>
      </c>
      <c r="B33" t="s">
        <v>102</v>
      </c>
      <c r="C33" t="s">
        <v>6</v>
      </c>
      <c r="D33" s="9" t="s">
        <v>7</v>
      </c>
      <c r="E33">
        <v>3</v>
      </c>
      <c r="F33">
        <v>37574</v>
      </c>
      <c r="G33">
        <f t="shared" si="0"/>
        <v>112722</v>
      </c>
      <c r="H33" t="s">
        <v>64</v>
      </c>
      <c r="I33" s="14" t="s">
        <v>65</v>
      </c>
      <c r="J33" s="1">
        <v>4.9000000000000004</v>
      </c>
      <c r="K33" s="8" t="s">
        <v>669</v>
      </c>
      <c r="L33" s="8">
        <v>2026</v>
      </c>
    </row>
    <row r="34" spans="1:12">
      <c r="A34" t="s">
        <v>103</v>
      </c>
      <c r="B34" t="s">
        <v>104</v>
      </c>
      <c r="C34" t="s">
        <v>105</v>
      </c>
      <c r="D34" t="s">
        <v>106</v>
      </c>
      <c r="E34">
        <v>2</v>
      </c>
      <c r="F34">
        <v>10351</v>
      </c>
      <c r="G34">
        <f t="shared" si="0"/>
        <v>20702</v>
      </c>
      <c r="H34" t="s">
        <v>27</v>
      </c>
      <c r="I34" s="14" t="s">
        <v>65</v>
      </c>
      <c r="J34" s="1">
        <v>4.5</v>
      </c>
      <c r="K34" s="8" t="s">
        <v>670</v>
      </c>
      <c r="L34" s="8">
        <v>2026</v>
      </c>
    </row>
    <row r="35" spans="1:12">
      <c r="A35" t="s">
        <v>107</v>
      </c>
      <c r="B35" t="s">
        <v>108</v>
      </c>
      <c r="C35" t="s">
        <v>12</v>
      </c>
      <c r="D35" s="9" t="s">
        <v>7</v>
      </c>
      <c r="E35">
        <v>5</v>
      </c>
      <c r="F35">
        <v>555</v>
      </c>
      <c r="G35">
        <f t="shared" si="0"/>
        <v>2775</v>
      </c>
      <c r="H35" t="s">
        <v>27</v>
      </c>
      <c r="I35" s="14" t="s">
        <v>65</v>
      </c>
      <c r="J35" s="1">
        <v>4.5999999999999996</v>
      </c>
      <c r="K35" s="8" t="s">
        <v>669</v>
      </c>
      <c r="L35" s="8">
        <v>2026</v>
      </c>
    </row>
    <row r="36" spans="1:12">
      <c r="A36" t="s">
        <v>109</v>
      </c>
      <c r="B36" t="s">
        <v>110</v>
      </c>
      <c r="C36" t="s">
        <v>79</v>
      </c>
      <c r="D36" t="s">
        <v>80</v>
      </c>
      <c r="E36">
        <v>4</v>
      </c>
      <c r="F36">
        <v>37257</v>
      </c>
      <c r="G36">
        <f t="shared" si="0"/>
        <v>149028</v>
      </c>
      <c r="H36" t="s">
        <v>74</v>
      </c>
      <c r="I36" s="14" t="s">
        <v>40</v>
      </c>
      <c r="J36" s="1">
        <v>4.0999999999999996</v>
      </c>
      <c r="K36" s="8" t="s">
        <v>668</v>
      </c>
      <c r="L36" s="8">
        <v>2026</v>
      </c>
    </row>
    <row r="37" spans="1:12">
      <c r="A37" t="s">
        <v>111</v>
      </c>
      <c r="B37" t="s">
        <v>112</v>
      </c>
      <c r="C37" t="s">
        <v>16</v>
      </c>
      <c r="D37" t="s">
        <v>14</v>
      </c>
      <c r="E37">
        <v>1</v>
      </c>
      <c r="F37">
        <v>17907</v>
      </c>
      <c r="G37">
        <f t="shared" si="0"/>
        <v>17907</v>
      </c>
      <c r="H37" t="s">
        <v>74</v>
      </c>
      <c r="I37" s="14" t="s">
        <v>43</v>
      </c>
      <c r="J37" s="1">
        <v>3.3</v>
      </c>
      <c r="K37" s="8" t="s">
        <v>669</v>
      </c>
      <c r="L37" s="8">
        <v>2026</v>
      </c>
    </row>
    <row r="38" spans="1:12">
      <c r="A38" t="s">
        <v>113</v>
      </c>
      <c r="B38" t="s">
        <v>114</v>
      </c>
      <c r="C38" t="s">
        <v>26</v>
      </c>
      <c r="D38" s="9" t="s">
        <v>7</v>
      </c>
      <c r="E38">
        <v>2</v>
      </c>
      <c r="F38">
        <v>10369</v>
      </c>
      <c r="G38">
        <f t="shared" si="0"/>
        <v>20738</v>
      </c>
      <c r="H38" t="s">
        <v>74</v>
      </c>
      <c r="I38" s="14" t="s">
        <v>43</v>
      </c>
      <c r="J38" s="1">
        <v>3.1</v>
      </c>
      <c r="K38" s="8" t="s">
        <v>654</v>
      </c>
      <c r="L38" s="8">
        <v>2026</v>
      </c>
    </row>
    <row r="39" spans="1:12">
      <c r="A39" t="s">
        <v>115</v>
      </c>
      <c r="B39" t="s">
        <v>58</v>
      </c>
      <c r="C39" t="s">
        <v>6</v>
      </c>
      <c r="D39" s="9" t="s">
        <v>7</v>
      </c>
      <c r="E39">
        <v>5</v>
      </c>
      <c r="F39">
        <v>309</v>
      </c>
      <c r="G39">
        <f t="shared" si="0"/>
        <v>1545</v>
      </c>
      <c r="H39" t="s">
        <v>27</v>
      </c>
      <c r="I39" s="14" t="s">
        <v>43</v>
      </c>
      <c r="J39" s="1">
        <v>3.8</v>
      </c>
      <c r="K39" s="8" t="s">
        <v>669</v>
      </c>
      <c r="L39" s="8">
        <v>2026</v>
      </c>
    </row>
    <row r="40" spans="1:12">
      <c r="A40" t="s">
        <v>116</v>
      </c>
      <c r="B40" t="s">
        <v>108</v>
      </c>
      <c r="C40" t="s">
        <v>26</v>
      </c>
      <c r="D40" s="9" t="s">
        <v>7</v>
      </c>
      <c r="E40">
        <v>1</v>
      </c>
      <c r="F40">
        <v>6167</v>
      </c>
      <c r="G40">
        <f t="shared" si="0"/>
        <v>6167</v>
      </c>
      <c r="H40" t="s">
        <v>46</v>
      </c>
      <c r="I40" s="14" t="s">
        <v>65</v>
      </c>
      <c r="J40" s="1">
        <v>4.9000000000000004</v>
      </c>
      <c r="K40" s="8" t="s">
        <v>668</v>
      </c>
      <c r="L40" s="8">
        <v>2026</v>
      </c>
    </row>
    <row r="41" spans="1:12">
      <c r="A41" t="s">
        <v>117</v>
      </c>
      <c r="B41" t="s">
        <v>69</v>
      </c>
      <c r="C41" t="s">
        <v>105</v>
      </c>
      <c r="D41" t="s">
        <v>106</v>
      </c>
      <c r="E41">
        <v>1</v>
      </c>
      <c r="F41">
        <v>8344</v>
      </c>
      <c r="G41">
        <f t="shared" si="0"/>
        <v>8344</v>
      </c>
      <c r="H41" t="s">
        <v>74</v>
      </c>
      <c r="I41" s="14" t="s">
        <v>65</v>
      </c>
      <c r="J41" s="1">
        <v>3.6</v>
      </c>
      <c r="K41" s="8" t="s">
        <v>672</v>
      </c>
      <c r="L41" s="8">
        <v>2026</v>
      </c>
    </row>
    <row r="42" spans="1:12">
      <c r="A42" t="s">
        <v>118</v>
      </c>
      <c r="B42" t="s">
        <v>119</v>
      </c>
      <c r="C42" t="s">
        <v>105</v>
      </c>
      <c r="D42" t="s">
        <v>106</v>
      </c>
      <c r="E42">
        <v>2</v>
      </c>
      <c r="F42">
        <v>19996</v>
      </c>
      <c r="G42">
        <f t="shared" si="0"/>
        <v>39992</v>
      </c>
      <c r="H42" t="s">
        <v>46</v>
      </c>
      <c r="I42" s="14" t="s">
        <v>43</v>
      </c>
      <c r="J42" s="1">
        <v>4</v>
      </c>
      <c r="K42" s="8" t="s">
        <v>668</v>
      </c>
      <c r="L42" s="8">
        <v>2026</v>
      </c>
    </row>
    <row r="43" spans="1:12">
      <c r="A43" t="s">
        <v>120</v>
      </c>
      <c r="B43" t="s">
        <v>84</v>
      </c>
      <c r="C43" t="s">
        <v>10</v>
      </c>
      <c r="D43" t="s">
        <v>11</v>
      </c>
      <c r="E43">
        <v>2</v>
      </c>
      <c r="F43">
        <v>4486</v>
      </c>
      <c r="G43">
        <f t="shared" si="0"/>
        <v>8972</v>
      </c>
      <c r="H43" t="s">
        <v>74</v>
      </c>
      <c r="I43" s="14" t="s">
        <v>65</v>
      </c>
      <c r="J43" s="1">
        <v>4.3</v>
      </c>
      <c r="K43" s="8" t="s">
        <v>670</v>
      </c>
      <c r="L43" s="8">
        <v>2026</v>
      </c>
    </row>
    <row r="44" spans="1:12">
      <c r="A44" t="s">
        <v>121</v>
      </c>
      <c r="B44" t="s">
        <v>122</v>
      </c>
      <c r="C44" t="s">
        <v>15</v>
      </c>
      <c r="D44" t="s">
        <v>7</v>
      </c>
      <c r="E44">
        <v>4</v>
      </c>
      <c r="F44">
        <v>19193</v>
      </c>
      <c r="G44">
        <f t="shared" si="0"/>
        <v>76772</v>
      </c>
      <c r="H44" t="s">
        <v>9</v>
      </c>
      <c r="I44" s="14" t="s">
        <v>40</v>
      </c>
      <c r="J44" s="1">
        <v>4</v>
      </c>
      <c r="K44" s="8" t="s">
        <v>671</v>
      </c>
      <c r="L44" s="8">
        <v>2026</v>
      </c>
    </row>
    <row r="45" spans="1:12">
      <c r="A45" t="s">
        <v>123</v>
      </c>
      <c r="B45" t="s">
        <v>124</v>
      </c>
      <c r="C45" t="s">
        <v>26</v>
      </c>
      <c r="D45" t="s">
        <v>7</v>
      </c>
      <c r="E45">
        <v>1</v>
      </c>
      <c r="F45">
        <v>33480</v>
      </c>
      <c r="G45">
        <f t="shared" si="0"/>
        <v>33480</v>
      </c>
      <c r="H45" t="s">
        <v>49</v>
      </c>
      <c r="I45" s="14" t="s">
        <v>43</v>
      </c>
      <c r="J45" s="1">
        <v>3.5</v>
      </c>
      <c r="K45" s="8" t="s">
        <v>668</v>
      </c>
      <c r="L45" s="8">
        <v>2026</v>
      </c>
    </row>
    <row r="46" spans="1:12">
      <c r="A46" t="s">
        <v>125</v>
      </c>
      <c r="B46" t="s">
        <v>126</v>
      </c>
      <c r="C46" t="s">
        <v>26</v>
      </c>
      <c r="D46" t="s">
        <v>7</v>
      </c>
      <c r="E46">
        <v>1</v>
      </c>
      <c r="F46">
        <v>19700</v>
      </c>
      <c r="G46">
        <f t="shared" si="0"/>
        <v>19700</v>
      </c>
      <c r="H46" t="s">
        <v>35</v>
      </c>
      <c r="I46" s="14" t="s">
        <v>8</v>
      </c>
      <c r="J46" s="1">
        <v>3.2</v>
      </c>
      <c r="K46" s="8" t="s">
        <v>654</v>
      </c>
      <c r="L46" s="8">
        <v>2026</v>
      </c>
    </row>
    <row r="47" spans="1:12">
      <c r="A47" t="s">
        <v>127</v>
      </c>
      <c r="B47" t="s">
        <v>128</v>
      </c>
      <c r="C47" t="s">
        <v>52</v>
      </c>
      <c r="D47" t="s">
        <v>11</v>
      </c>
      <c r="E47">
        <v>2</v>
      </c>
      <c r="F47">
        <v>23862</v>
      </c>
      <c r="G47">
        <f t="shared" si="0"/>
        <v>47724</v>
      </c>
      <c r="H47" t="s">
        <v>64</v>
      </c>
      <c r="I47" s="14" t="s">
        <v>65</v>
      </c>
      <c r="J47" s="1">
        <v>3.7</v>
      </c>
      <c r="K47" s="8" t="s">
        <v>668</v>
      </c>
      <c r="L47" s="8">
        <v>2026</v>
      </c>
    </row>
    <row r="48" spans="1:12">
      <c r="A48" t="s">
        <v>129</v>
      </c>
      <c r="B48" t="s">
        <v>130</v>
      </c>
      <c r="C48" t="s">
        <v>15</v>
      </c>
      <c r="D48" t="s">
        <v>7</v>
      </c>
      <c r="E48">
        <v>4</v>
      </c>
      <c r="F48">
        <v>15755</v>
      </c>
      <c r="G48">
        <f t="shared" si="0"/>
        <v>63020</v>
      </c>
      <c r="H48" t="s">
        <v>74</v>
      </c>
      <c r="I48" s="14" t="s">
        <v>30</v>
      </c>
      <c r="J48" s="1">
        <v>4.5999999999999996</v>
      </c>
      <c r="K48" s="8" t="s">
        <v>671</v>
      </c>
      <c r="L48" s="8">
        <v>2026</v>
      </c>
    </row>
    <row r="49" spans="1:12">
      <c r="A49" t="s">
        <v>131</v>
      </c>
      <c r="B49" t="s">
        <v>132</v>
      </c>
      <c r="C49" t="s">
        <v>105</v>
      </c>
      <c r="D49" t="s">
        <v>106</v>
      </c>
      <c r="E49">
        <v>2</v>
      </c>
      <c r="F49">
        <v>11393</v>
      </c>
      <c r="G49">
        <f t="shared" si="0"/>
        <v>22786</v>
      </c>
      <c r="H49" t="s">
        <v>9</v>
      </c>
      <c r="I49" s="14" t="s">
        <v>65</v>
      </c>
      <c r="J49" s="1">
        <v>3.6</v>
      </c>
      <c r="K49" s="8" t="s">
        <v>654</v>
      </c>
      <c r="L49" s="8">
        <v>2026</v>
      </c>
    </row>
    <row r="50" spans="1:12">
      <c r="A50" t="s">
        <v>133</v>
      </c>
      <c r="B50" t="s">
        <v>34</v>
      </c>
      <c r="C50" t="s">
        <v>52</v>
      </c>
      <c r="D50" t="s">
        <v>11</v>
      </c>
      <c r="E50">
        <v>5</v>
      </c>
      <c r="F50">
        <v>24310</v>
      </c>
      <c r="G50">
        <f t="shared" si="0"/>
        <v>121550</v>
      </c>
      <c r="H50" t="s">
        <v>27</v>
      </c>
      <c r="I50" s="14" t="s">
        <v>43</v>
      </c>
      <c r="J50" s="1">
        <v>4.0999999999999996</v>
      </c>
      <c r="K50" s="8" t="s">
        <v>669</v>
      </c>
      <c r="L50" s="8">
        <v>2026</v>
      </c>
    </row>
    <row r="51" spans="1:12">
      <c r="A51" t="s">
        <v>134</v>
      </c>
      <c r="B51" t="s">
        <v>135</v>
      </c>
      <c r="C51" t="s">
        <v>13</v>
      </c>
      <c r="D51" t="s">
        <v>14</v>
      </c>
      <c r="E51">
        <v>4</v>
      </c>
      <c r="F51">
        <v>27576</v>
      </c>
      <c r="G51">
        <f t="shared" si="0"/>
        <v>110304</v>
      </c>
      <c r="H51" t="s">
        <v>35</v>
      </c>
      <c r="I51" s="14" t="s">
        <v>30</v>
      </c>
      <c r="J51" s="1">
        <v>4.3</v>
      </c>
      <c r="K51" s="8" t="s">
        <v>669</v>
      </c>
      <c r="L51" s="8">
        <v>2026</v>
      </c>
    </row>
    <row r="52" spans="1:12">
      <c r="A52" t="s">
        <v>136</v>
      </c>
      <c r="B52" t="s">
        <v>137</v>
      </c>
      <c r="C52" t="s">
        <v>15</v>
      </c>
      <c r="D52" t="s">
        <v>7</v>
      </c>
      <c r="E52">
        <v>5</v>
      </c>
      <c r="F52">
        <v>32482</v>
      </c>
      <c r="G52">
        <f t="shared" si="0"/>
        <v>162410</v>
      </c>
      <c r="H52" t="s">
        <v>46</v>
      </c>
      <c r="I52" s="14" t="s">
        <v>40</v>
      </c>
      <c r="J52" s="1">
        <v>4.8</v>
      </c>
      <c r="K52" s="8" t="s">
        <v>668</v>
      </c>
      <c r="L52" s="8">
        <v>2026</v>
      </c>
    </row>
    <row r="53" spans="1:12">
      <c r="A53" t="s">
        <v>138</v>
      </c>
      <c r="B53" t="s">
        <v>42</v>
      </c>
      <c r="C53" t="s">
        <v>105</v>
      </c>
      <c r="D53" t="s">
        <v>106</v>
      </c>
      <c r="E53">
        <v>2</v>
      </c>
      <c r="F53">
        <v>29579</v>
      </c>
      <c r="G53">
        <f t="shared" si="0"/>
        <v>59158</v>
      </c>
      <c r="H53" t="s">
        <v>49</v>
      </c>
      <c r="I53" s="14" t="s">
        <v>8</v>
      </c>
      <c r="J53" s="1">
        <v>4.9000000000000004</v>
      </c>
      <c r="K53" s="8" t="s">
        <v>671</v>
      </c>
      <c r="L53" s="8">
        <v>2026</v>
      </c>
    </row>
    <row r="54" spans="1:12">
      <c r="A54" t="s">
        <v>139</v>
      </c>
      <c r="B54" t="s">
        <v>37</v>
      </c>
      <c r="C54" t="s">
        <v>26</v>
      </c>
      <c r="D54" t="s">
        <v>7</v>
      </c>
      <c r="E54">
        <v>4</v>
      </c>
      <c r="F54">
        <v>14304</v>
      </c>
      <c r="G54">
        <f t="shared" si="0"/>
        <v>57216</v>
      </c>
      <c r="H54" t="s">
        <v>35</v>
      </c>
      <c r="I54" s="14" t="s">
        <v>30</v>
      </c>
      <c r="J54" s="1">
        <v>4.3</v>
      </c>
      <c r="K54" s="8" t="s">
        <v>654</v>
      </c>
      <c r="L54" s="8">
        <v>2026</v>
      </c>
    </row>
    <row r="55" spans="1:12">
      <c r="A55" t="s">
        <v>140</v>
      </c>
      <c r="B55" t="s">
        <v>141</v>
      </c>
      <c r="C55" t="s">
        <v>59</v>
      </c>
      <c r="D55" t="s">
        <v>7</v>
      </c>
      <c r="E55">
        <v>4</v>
      </c>
      <c r="F55">
        <v>24084</v>
      </c>
      <c r="G55">
        <f t="shared" si="0"/>
        <v>96336</v>
      </c>
      <c r="H55" t="s">
        <v>74</v>
      </c>
      <c r="I55" s="14" t="s">
        <v>30</v>
      </c>
      <c r="J55" s="1">
        <v>4.4000000000000004</v>
      </c>
      <c r="K55" s="8" t="s">
        <v>654</v>
      </c>
      <c r="L55" s="8">
        <v>2026</v>
      </c>
    </row>
    <row r="56" spans="1:12">
      <c r="A56" t="s">
        <v>142</v>
      </c>
      <c r="B56" t="s">
        <v>54</v>
      </c>
      <c r="C56" t="s">
        <v>79</v>
      </c>
      <c r="D56" t="s">
        <v>80</v>
      </c>
      <c r="E56">
        <v>4</v>
      </c>
      <c r="F56">
        <v>15006</v>
      </c>
      <c r="G56">
        <f t="shared" si="0"/>
        <v>60024</v>
      </c>
      <c r="H56" t="s">
        <v>49</v>
      </c>
      <c r="I56" s="14" t="s">
        <v>30</v>
      </c>
      <c r="J56" s="1">
        <v>4.5999999999999996</v>
      </c>
      <c r="K56" s="8" t="s">
        <v>668</v>
      </c>
      <c r="L56" s="8">
        <v>2026</v>
      </c>
    </row>
    <row r="57" spans="1:12">
      <c r="A57" t="s">
        <v>143</v>
      </c>
      <c r="B57" t="s">
        <v>144</v>
      </c>
      <c r="C57" t="s">
        <v>52</v>
      </c>
      <c r="D57" t="s">
        <v>11</v>
      </c>
      <c r="E57">
        <v>5</v>
      </c>
      <c r="F57">
        <v>14464</v>
      </c>
      <c r="G57">
        <f t="shared" si="0"/>
        <v>72320</v>
      </c>
      <c r="H57" t="s">
        <v>74</v>
      </c>
      <c r="I57" s="14" t="s">
        <v>43</v>
      </c>
      <c r="J57" s="1">
        <v>3.5</v>
      </c>
      <c r="K57" s="8" t="s">
        <v>672</v>
      </c>
      <c r="L57" s="8">
        <v>2026</v>
      </c>
    </row>
    <row r="58" spans="1:12">
      <c r="A58" t="s">
        <v>145</v>
      </c>
      <c r="B58" t="s">
        <v>54</v>
      </c>
      <c r="C58" t="s">
        <v>6</v>
      </c>
      <c r="D58" t="s">
        <v>7</v>
      </c>
      <c r="E58">
        <v>1</v>
      </c>
      <c r="F58">
        <v>9542</v>
      </c>
      <c r="G58">
        <f t="shared" si="0"/>
        <v>9542</v>
      </c>
      <c r="H58" t="s">
        <v>74</v>
      </c>
      <c r="I58" s="14" t="s">
        <v>40</v>
      </c>
      <c r="J58" s="1">
        <v>3.7</v>
      </c>
      <c r="K58" s="8" t="s">
        <v>671</v>
      </c>
      <c r="L58" s="8">
        <v>2026</v>
      </c>
    </row>
    <row r="59" spans="1:12">
      <c r="A59" t="s">
        <v>146</v>
      </c>
      <c r="B59" t="s">
        <v>147</v>
      </c>
      <c r="C59" t="s">
        <v>13</v>
      </c>
      <c r="D59" t="s">
        <v>14</v>
      </c>
      <c r="E59">
        <v>4</v>
      </c>
      <c r="F59">
        <v>31312</v>
      </c>
      <c r="G59">
        <f t="shared" si="0"/>
        <v>125248</v>
      </c>
      <c r="H59" t="s">
        <v>9</v>
      </c>
      <c r="I59" s="14" t="s">
        <v>40</v>
      </c>
      <c r="J59" s="1">
        <v>3.4</v>
      </c>
      <c r="K59" s="8" t="s">
        <v>671</v>
      </c>
      <c r="L59" s="8">
        <v>2026</v>
      </c>
    </row>
    <row r="60" spans="1:12">
      <c r="A60" t="s">
        <v>148</v>
      </c>
      <c r="B60" t="s">
        <v>39</v>
      </c>
      <c r="C60" t="s">
        <v>52</v>
      </c>
      <c r="D60" t="s">
        <v>11</v>
      </c>
      <c r="E60">
        <v>5</v>
      </c>
      <c r="F60">
        <v>33598</v>
      </c>
      <c r="G60">
        <f t="shared" si="0"/>
        <v>167990</v>
      </c>
      <c r="H60" t="s">
        <v>74</v>
      </c>
      <c r="I60" s="14" t="s">
        <v>8</v>
      </c>
      <c r="J60" s="1">
        <v>4.5</v>
      </c>
      <c r="K60" s="8" t="s">
        <v>669</v>
      </c>
      <c r="L60" s="8">
        <v>2026</v>
      </c>
    </row>
    <row r="61" spans="1:12">
      <c r="A61" t="s">
        <v>149</v>
      </c>
      <c r="B61" t="s">
        <v>150</v>
      </c>
      <c r="C61" t="s">
        <v>16</v>
      </c>
      <c r="D61" t="s">
        <v>14</v>
      </c>
      <c r="E61">
        <v>2</v>
      </c>
      <c r="F61">
        <v>31551</v>
      </c>
      <c r="G61">
        <f t="shared" si="0"/>
        <v>63102</v>
      </c>
      <c r="H61" t="s">
        <v>27</v>
      </c>
      <c r="I61" s="14" t="s">
        <v>65</v>
      </c>
      <c r="J61" s="1">
        <v>4.7</v>
      </c>
      <c r="K61" s="8" t="s">
        <v>668</v>
      </c>
      <c r="L61" s="8">
        <v>2026</v>
      </c>
    </row>
    <row r="62" spans="1:12">
      <c r="A62" t="s">
        <v>151</v>
      </c>
      <c r="B62" t="s">
        <v>141</v>
      </c>
      <c r="C62" t="s">
        <v>6</v>
      </c>
      <c r="D62" t="s">
        <v>7</v>
      </c>
      <c r="E62">
        <v>1</v>
      </c>
      <c r="F62">
        <v>18514</v>
      </c>
      <c r="G62">
        <f t="shared" si="0"/>
        <v>18514</v>
      </c>
      <c r="H62" t="s">
        <v>46</v>
      </c>
      <c r="I62" s="14" t="s">
        <v>65</v>
      </c>
      <c r="J62" s="1">
        <v>3.6</v>
      </c>
      <c r="K62" s="8" t="s">
        <v>671</v>
      </c>
      <c r="L62" s="8">
        <v>2026</v>
      </c>
    </row>
    <row r="63" spans="1:12">
      <c r="A63" t="s">
        <v>152</v>
      </c>
      <c r="B63" t="s">
        <v>130</v>
      </c>
      <c r="C63" t="s">
        <v>6</v>
      </c>
      <c r="D63" t="s">
        <v>7</v>
      </c>
      <c r="E63">
        <v>4</v>
      </c>
      <c r="F63">
        <v>18315</v>
      </c>
      <c r="G63">
        <f t="shared" si="0"/>
        <v>73260</v>
      </c>
      <c r="H63" t="s">
        <v>9</v>
      </c>
      <c r="I63" s="14" t="s">
        <v>43</v>
      </c>
      <c r="J63" s="1">
        <v>4</v>
      </c>
      <c r="K63" s="8" t="s">
        <v>668</v>
      </c>
      <c r="L63" s="8">
        <v>2026</v>
      </c>
    </row>
    <row r="64" spans="1:12">
      <c r="A64" t="s">
        <v>153</v>
      </c>
      <c r="B64" t="s">
        <v>45</v>
      </c>
      <c r="C64" t="s">
        <v>15</v>
      </c>
      <c r="D64" t="s">
        <v>7</v>
      </c>
      <c r="E64">
        <v>4</v>
      </c>
      <c r="F64">
        <v>16870</v>
      </c>
      <c r="G64">
        <f t="shared" si="0"/>
        <v>67480</v>
      </c>
      <c r="H64" t="s">
        <v>9</v>
      </c>
      <c r="I64" s="14" t="s">
        <v>65</v>
      </c>
      <c r="J64" s="1">
        <v>4.5999999999999996</v>
      </c>
      <c r="K64" s="8" t="s">
        <v>654</v>
      </c>
      <c r="L64" s="8">
        <v>2026</v>
      </c>
    </row>
    <row r="65" spans="1:12">
      <c r="A65" t="s">
        <v>154</v>
      </c>
      <c r="B65" t="s">
        <v>155</v>
      </c>
      <c r="C65" t="s">
        <v>12</v>
      </c>
      <c r="D65" t="s">
        <v>7</v>
      </c>
      <c r="E65">
        <v>4</v>
      </c>
      <c r="F65">
        <v>32194</v>
      </c>
      <c r="G65">
        <f t="shared" si="0"/>
        <v>128776</v>
      </c>
      <c r="H65" t="s">
        <v>49</v>
      </c>
      <c r="I65" s="14" t="s">
        <v>8</v>
      </c>
      <c r="J65" s="1">
        <v>3.9</v>
      </c>
      <c r="K65" s="8" t="s">
        <v>654</v>
      </c>
      <c r="L65" s="8">
        <v>2026</v>
      </c>
    </row>
    <row r="66" spans="1:12">
      <c r="A66" t="s">
        <v>156</v>
      </c>
      <c r="B66" t="s">
        <v>157</v>
      </c>
      <c r="C66" t="s">
        <v>26</v>
      </c>
      <c r="D66" t="s">
        <v>7</v>
      </c>
      <c r="E66">
        <v>5</v>
      </c>
      <c r="F66">
        <v>14896</v>
      </c>
      <c r="G66">
        <f t="shared" si="0"/>
        <v>74480</v>
      </c>
      <c r="H66" t="s">
        <v>35</v>
      </c>
      <c r="I66" s="14" t="s">
        <v>65</v>
      </c>
      <c r="J66" s="1">
        <v>3</v>
      </c>
      <c r="K66" s="8" t="s">
        <v>668</v>
      </c>
      <c r="L66" s="8">
        <v>2026</v>
      </c>
    </row>
    <row r="67" spans="1:12">
      <c r="A67" t="s">
        <v>158</v>
      </c>
      <c r="B67" t="s">
        <v>159</v>
      </c>
      <c r="C67" t="s">
        <v>59</v>
      </c>
      <c r="D67" t="s">
        <v>7</v>
      </c>
      <c r="E67">
        <v>1</v>
      </c>
      <c r="F67">
        <v>38925</v>
      </c>
      <c r="G67">
        <f t="shared" ref="G67:G130" si="1">SUM(F67*E67)</f>
        <v>38925</v>
      </c>
      <c r="H67" t="s">
        <v>46</v>
      </c>
      <c r="I67" s="14" t="s">
        <v>65</v>
      </c>
      <c r="J67" s="1">
        <v>4.5999999999999996</v>
      </c>
      <c r="K67" s="8" t="s">
        <v>672</v>
      </c>
      <c r="L67" s="8">
        <v>2026</v>
      </c>
    </row>
    <row r="68" spans="1:12">
      <c r="A68" t="s">
        <v>160</v>
      </c>
      <c r="B68" t="s">
        <v>114</v>
      </c>
      <c r="C68" t="s">
        <v>12</v>
      </c>
      <c r="D68" t="s">
        <v>7</v>
      </c>
      <c r="E68">
        <v>1</v>
      </c>
      <c r="F68">
        <v>34963</v>
      </c>
      <c r="G68">
        <f t="shared" si="1"/>
        <v>34963</v>
      </c>
      <c r="H68" t="s">
        <v>46</v>
      </c>
      <c r="I68" s="14" t="s">
        <v>30</v>
      </c>
      <c r="J68" s="1">
        <v>3.8</v>
      </c>
      <c r="K68" s="8" t="s">
        <v>654</v>
      </c>
      <c r="L68" s="8">
        <v>2026</v>
      </c>
    </row>
    <row r="69" spans="1:12">
      <c r="A69" t="s">
        <v>161</v>
      </c>
      <c r="B69" t="s">
        <v>119</v>
      </c>
      <c r="C69" t="s">
        <v>15</v>
      </c>
      <c r="D69" t="s">
        <v>7</v>
      </c>
      <c r="E69">
        <v>3</v>
      </c>
      <c r="F69">
        <v>22367</v>
      </c>
      <c r="G69">
        <f t="shared" si="1"/>
        <v>67101</v>
      </c>
      <c r="H69" t="s">
        <v>64</v>
      </c>
      <c r="I69" s="14" t="s">
        <v>65</v>
      </c>
      <c r="J69" s="1">
        <v>5</v>
      </c>
      <c r="K69" s="8" t="s">
        <v>671</v>
      </c>
      <c r="L69" s="8">
        <v>2026</v>
      </c>
    </row>
    <row r="70" spans="1:12">
      <c r="A70" t="s">
        <v>162</v>
      </c>
      <c r="B70" t="s">
        <v>163</v>
      </c>
      <c r="C70" t="s">
        <v>55</v>
      </c>
      <c r="D70" t="s">
        <v>56</v>
      </c>
      <c r="E70">
        <v>1</v>
      </c>
      <c r="F70">
        <v>21314</v>
      </c>
      <c r="G70">
        <f t="shared" si="1"/>
        <v>21314</v>
      </c>
      <c r="H70" t="s">
        <v>46</v>
      </c>
      <c r="I70" s="14" t="s">
        <v>30</v>
      </c>
      <c r="J70" s="1">
        <v>3.7</v>
      </c>
      <c r="K70" s="8" t="s">
        <v>654</v>
      </c>
      <c r="L70" s="8">
        <v>2026</v>
      </c>
    </row>
    <row r="71" spans="1:12">
      <c r="A71" t="s">
        <v>164</v>
      </c>
      <c r="B71" t="s">
        <v>159</v>
      </c>
      <c r="C71" t="s">
        <v>55</v>
      </c>
      <c r="D71" t="s">
        <v>56</v>
      </c>
      <c r="E71">
        <v>5</v>
      </c>
      <c r="F71">
        <v>36276</v>
      </c>
      <c r="G71">
        <f t="shared" si="1"/>
        <v>181380</v>
      </c>
      <c r="H71" t="s">
        <v>9</v>
      </c>
      <c r="I71" s="14" t="s">
        <v>30</v>
      </c>
      <c r="J71" s="1">
        <v>4.9000000000000004</v>
      </c>
      <c r="K71" s="8" t="s">
        <v>669</v>
      </c>
      <c r="L71" s="8">
        <v>2026</v>
      </c>
    </row>
    <row r="72" spans="1:12">
      <c r="A72" t="s">
        <v>165</v>
      </c>
      <c r="B72" t="s">
        <v>119</v>
      </c>
      <c r="C72" t="s">
        <v>16</v>
      </c>
      <c r="D72" t="s">
        <v>14</v>
      </c>
      <c r="E72">
        <v>3</v>
      </c>
      <c r="F72">
        <v>32923</v>
      </c>
      <c r="G72">
        <f t="shared" si="1"/>
        <v>98769</v>
      </c>
      <c r="H72" t="s">
        <v>35</v>
      </c>
      <c r="I72" s="14" t="s">
        <v>8</v>
      </c>
      <c r="J72" s="1">
        <v>4.2</v>
      </c>
      <c r="K72" s="8" t="s">
        <v>670</v>
      </c>
      <c r="L72" s="8">
        <v>2026</v>
      </c>
    </row>
    <row r="73" spans="1:12">
      <c r="A73" t="s">
        <v>166</v>
      </c>
      <c r="B73" t="s">
        <v>167</v>
      </c>
      <c r="C73" t="s">
        <v>12</v>
      </c>
      <c r="D73" t="s">
        <v>7</v>
      </c>
      <c r="E73">
        <v>4</v>
      </c>
      <c r="F73">
        <v>11944</v>
      </c>
      <c r="G73">
        <f t="shared" si="1"/>
        <v>47776</v>
      </c>
      <c r="H73" t="s">
        <v>35</v>
      </c>
      <c r="I73" s="14" t="s">
        <v>65</v>
      </c>
      <c r="J73" s="1">
        <v>3.7</v>
      </c>
      <c r="K73" s="8" t="s">
        <v>671</v>
      </c>
      <c r="L73" s="8">
        <v>2026</v>
      </c>
    </row>
    <row r="74" spans="1:12">
      <c r="A74" t="s">
        <v>168</v>
      </c>
      <c r="B74" t="s">
        <v>45</v>
      </c>
      <c r="C74" t="s">
        <v>55</v>
      </c>
      <c r="D74" t="s">
        <v>56</v>
      </c>
      <c r="E74">
        <v>3</v>
      </c>
      <c r="F74">
        <v>32183</v>
      </c>
      <c r="G74">
        <f t="shared" si="1"/>
        <v>96549</v>
      </c>
      <c r="H74" t="s">
        <v>46</v>
      </c>
      <c r="I74" s="14" t="s">
        <v>40</v>
      </c>
      <c r="J74" s="1">
        <v>4</v>
      </c>
      <c r="K74" s="8" t="s">
        <v>671</v>
      </c>
      <c r="L74" s="8">
        <v>2026</v>
      </c>
    </row>
    <row r="75" spans="1:12">
      <c r="A75" t="s">
        <v>169</v>
      </c>
      <c r="B75" t="s">
        <v>170</v>
      </c>
      <c r="C75" t="s">
        <v>12</v>
      </c>
      <c r="D75" t="s">
        <v>7</v>
      </c>
      <c r="E75">
        <v>3</v>
      </c>
      <c r="F75">
        <v>48487</v>
      </c>
      <c r="G75">
        <f t="shared" si="1"/>
        <v>145461</v>
      </c>
      <c r="H75" t="s">
        <v>64</v>
      </c>
      <c r="I75" s="14" t="s">
        <v>30</v>
      </c>
      <c r="J75" s="1">
        <v>4.4000000000000004</v>
      </c>
      <c r="K75" s="8" t="s">
        <v>671</v>
      </c>
      <c r="L75" s="8">
        <v>2026</v>
      </c>
    </row>
    <row r="76" spans="1:12">
      <c r="A76" t="s">
        <v>171</v>
      </c>
      <c r="B76" t="s">
        <v>91</v>
      </c>
      <c r="C76" t="s">
        <v>79</v>
      </c>
      <c r="D76" t="s">
        <v>80</v>
      </c>
      <c r="E76">
        <v>1</v>
      </c>
      <c r="F76">
        <v>36031</v>
      </c>
      <c r="G76">
        <f t="shared" si="1"/>
        <v>36031</v>
      </c>
      <c r="H76" t="s">
        <v>9</v>
      </c>
      <c r="I76" s="14" t="s">
        <v>8</v>
      </c>
      <c r="J76" s="1">
        <v>4</v>
      </c>
      <c r="K76" s="8" t="s">
        <v>671</v>
      </c>
      <c r="L76" s="8">
        <v>2026</v>
      </c>
    </row>
    <row r="77" spans="1:12">
      <c r="A77" t="s">
        <v>172</v>
      </c>
      <c r="B77" t="s">
        <v>173</v>
      </c>
      <c r="C77" t="s">
        <v>55</v>
      </c>
      <c r="D77" t="s">
        <v>56</v>
      </c>
      <c r="E77">
        <v>1</v>
      </c>
      <c r="F77">
        <v>34071</v>
      </c>
      <c r="G77">
        <f t="shared" si="1"/>
        <v>34071</v>
      </c>
      <c r="H77" t="s">
        <v>46</v>
      </c>
      <c r="I77" s="14" t="s">
        <v>8</v>
      </c>
      <c r="J77" s="1">
        <v>3.2</v>
      </c>
      <c r="K77" s="8" t="s">
        <v>671</v>
      </c>
      <c r="L77" s="8">
        <v>2026</v>
      </c>
    </row>
    <row r="78" spans="1:12">
      <c r="A78" t="s">
        <v>174</v>
      </c>
      <c r="B78" t="s">
        <v>175</v>
      </c>
      <c r="C78" t="s">
        <v>59</v>
      </c>
      <c r="D78" t="s">
        <v>7</v>
      </c>
      <c r="E78">
        <v>4</v>
      </c>
      <c r="F78">
        <v>9944</v>
      </c>
      <c r="G78">
        <f t="shared" si="1"/>
        <v>39776</v>
      </c>
      <c r="H78" t="s">
        <v>46</v>
      </c>
      <c r="I78" s="14" t="s">
        <v>40</v>
      </c>
      <c r="J78" s="1">
        <v>4.5</v>
      </c>
      <c r="K78" s="8" t="s">
        <v>672</v>
      </c>
      <c r="L78" s="8">
        <v>2026</v>
      </c>
    </row>
    <row r="79" spans="1:12">
      <c r="A79" t="s">
        <v>176</v>
      </c>
      <c r="B79" t="s">
        <v>114</v>
      </c>
      <c r="C79" t="s">
        <v>10</v>
      </c>
      <c r="D79" t="s">
        <v>11</v>
      </c>
      <c r="E79">
        <v>2</v>
      </c>
      <c r="F79">
        <v>18459</v>
      </c>
      <c r="G79">
        <f t="shared" si="1"/>
        <v>36918</v>
      </c>
      <c r="H79" t="s">
        <v>9</v>
      </c>
      <c r="I79" s="14" t="s">
        <v>43</v>
      </c>
      <c r="J79" s="1">
        <v>3.2</v>
      </c>
      <c r="K79" s="8" t="s">
        <v>654</v>
      </c>
      <c r="L79" s="8">
        <v>2026</v>
      </c>
    </row>
    <row r="80" spans="1:12">
      <c r="A80" t="s">
        <v>177</v>
      </c>
      <c r="B80" t="s">
        <v>178</v>
      </c>
      <c r="C80" t="s">
        <v>13</v>
      </c>
      <c r="D80" t="s">
        <v>14</v>
      </c>
      <c r="E80">
        <v>5</v>
      </c>
      <c r="F80">
        <v>23844</v>
      </c>
      <c r="G80">
        <f t="shared" si="1"/>
        <v>119220</v>
      </c>
      <c r="H80" t="s">
        <v>64</v>
      </c>
      <c r="I80" s="14" t="s">
        <v>30</v>
      </c>
      <c r="J80" s="1">
        <v>4.4000000000000004</v>
      </c>
      <c r="K80" s="8" t="s">
        <v>672</v>
      </c>
      <c r="L80" s="8">
        <v>2026</v>
      </c>
    </row>
    <row r="81" spans="1:12">
      <c r="A81" t="s">
        <v>179</v>
      </c>
      <c r="B81" t="s">
        <v>150</v>
      </c>
      <c r="C81" t="s">
        <v>16</v>
      </c>
      <c r="D81" t="s">
        <v>14</v>
      </c>
      <c r="E81">
        <v>1</v>
      </c>
      <c r="F81">
        <v>40471</v>
      </c>
      <c r="G81">
        <f t="shared" si="1"/>
        <v>40471</v>
      </c>
      <c r="H81" t="s">
        <v>46</v>
      </c>
      <c r="I81" s="14" t="s">
        <v>43</v>
      </c>
      <c r="J81" s="1">
        <v>4.5</v>
      </c>
      <c r="K81" s="8" t="s">
        <v>670</v>
      </c>
      <c r="L81" s="8">
        <v>2026</v>
      </c>
    </row>
    <row r="82" spans="1:12">
      <c r="A82" t="s">
        <v>180</v>
      </c>
      <c r="B82" t="s">
        <v>159</v>
      </c>
      <c r="C82" t="s">
        <v>52</v>
      </c>
      <c r="D82" t="s">
        <v>11</v>
      </c>
      <c r="E82">
        <v>1</v>
      </c>
      <c r="F82">
        <v>46209</v>
      </c>
      <c r="G82">
        <f t="shared" si="1"/>
        <v>46209</v>
      </c>
      <c r="H82" t="s">
        <v>9</v>
      </c>
      <c r="I82" s="14" t="s">
        <v>65</v>
      </c>
      <c r="J82" s="1">
        <v>3.1</v>
      </c>
      <c r="K82" s="8" t="s">
        <v>671</v>
      </c>
      <c r="L82" s="8">
        <v>2026</v>
      </c>
    </row>
    <row r="83" spans="1:12">
      <c r="A83" t="s">
        <v>181</v>
      </c>
      <c r="B83" t="s">
        <v>182</v>
      </c>
      <c r="C83" t="s">
        <v>6</v>
      </c>
      <c r="D83" t="s">
        <v>7</v>
      </c>
      <c r="E83">
        <v>1</v>
      </c>
      <c r="F83">
        <v>35696</v>
      </c>
      <c r="G83">
        <f t="shared" si="1"/>
        <v>35696</v>
      </c>
      <c r="H83" t="s">
        <v>74</v>
      </c>
      <c r="I83" s="14" t="s">
        <v>65</v>
      </c>
      <c r="J83" s="1">
        <v>4.4000000000000004</v>
      </c>
      <c r="K83" s="8" t="s">
        <v>669</v>
      </c>
      <c r="L83" s="8">
        <v>2026</v>
      </c>
    </row>
    <row r="84" spans="1:12">
      <c r="A84" t="s">
        <v>183</v>
      </c>
      <c r="B84" t="s">
        <v>184</v>
      </c>
      <c r="C84" t="s">
        <v>12</v>
      </c>
      <c r="D84" t="s">
        <v>7</v>
      </c>
      <c r="E84">
        <v>5</v>
      </c>
      <c r="F84">
        <v>3461</v>
      </c>
      <c r="G84">
        <f t="shared" si="1"/>
        <v>17305</v>
      </c>
      <c r="H84" t="s">
        <v>27</v>
      </c>
      <c r="I84" s="14" t="s">
        <v>8</v>
      </c>
      <c r="J84" s="1">
        <v>3.5</v>
      </c>
      <c r="K84" s="8" t="s">
        <v>668</v>
      </c>
      <c r="L84" s="8">
        <v>2026</v>
      </c>
    </row>
    <row r="85" spans="1:12">
      <c r="A85" t="s">
        <v>185</v>
      </c>
      <c r="B85" t="s">
        <v>186</v>
      </c>
      <c r="C85" t="s">
        <v>10</v>
      </c>
      <c r="D85" t="s">
        <v>11</v>
      </c>
      <c r="E85">
        <v>5</v>
      </c>
      <c r="F85">
        <v>46388</v>
      </c>
      <c r="G85">
        <f t="shared" si="1"/>
        <v>231940</v>
      </c>
      <c r="H85" t="s">
        <v>27</v>
      </c>
      <c r="I85" s="14" t="s">
        <v>8</v>
      </c>
      <c r="J85" s="1">
        <v>4.4000000000000004</v>
      </c>
      <c r="K85" s="8" t="s">
        <v>668</v>
      </c>
      <c r="L85" s="8">
        <v>2026</v>
      </c>
    </row>
    <row r="86" spans="1:12">
      <c r="A86" t="s">
        <v>187</v>
      </c>
      <c r="B86" t="s">
        <v>84</v>
      </c>
      <c r="C86" t="s">
        <v>13</v>
      </c>
      <c r="D86" t="s">
        <v>14</v>
      </c>
      <c r="E86">
        <v>1</v>
      </c>
      <c r="F86">
        <v>33565</v>
      </c>
      <c r="G86">
        <f t="shared" si="1"/>
        <v>33565</v>
      </c>
      <c r="H86" t="s">
        <v>27</v>
      </c>
      <c r="I86" s="14" t="s">
        <v>30</v>
      </c>
      <c r="J86" s="1">
        <v>3.3</v>
      </c>
      <c r="K86" s="8" t="s">
        <v>671</v>
      </c>
      <c r="L86" s="8">
        <v>2026</v>
      </c>
    </row>
    <row r="87" spans="1:12">
      <c r="A87" t="s">
        <v>188</v>
      </c>
      <c r="B87" t="s">
        <v>29</v>
      </c>
      <c r="C87" t="s">
        <v>15</v>
      </c>
      <c r="D87" t="s">
        <v>7</v>
      </c>
      <c r="E87">
        <v>5</v>
      </c>
      <c r="F87">
        <v>28257</v>
      </c>
      <c r="G87">
        <f t="shared" si="1"/>
        <v>141285</v>
      </c>
      <c r="H87" t="s">
        <v>9</v>
      </c>
      <c r="I87" s="14" t="s">
        <v>30</v>
      </c>
      <c r="J87" s="1">
        <v>3.5</v>
      </c>
      <c r="K87" s="8" t="s">
        <v>669</v>
      </c>
      <c r="L87" s="8">
        <v>2026</v>
      </c>
    </row>
    <row r="88" spans="1:12">
      <c r="A88" t="s">
        <v>189</v>
      </c>
      <c r="B88" t="s">
        <v>190</v>
      </c>
      <c r="C88" t="s">
        <v>13</v>
      </c>
      <c r="D88" t="s">
        <v>14</v>
      </c>
      <c r="E88">
        <v>4</v>
      </c>
      <c r="F88">
        <v>46335</v>
      </c>
      <c r="G88">
        <f t="shared" si="1"/>
        <v>185340</v>
      </c>
      <c r="H88" t="s">
        <v>46</v>
      </c>
      <c r="I88" s="14" t="s">
        <v>8</v>
      </c>
      <c r="J88" s="1">
        <v>4.8</v>
      </c>
      <c r="K88" s="8" t="s">
        <v>668</v>
      </c>
      <c r="L88" s="8">
        <v>2026</v>
      </c>
    </row>
    <row r="89" spans="1:12">
      <c r="A89" t="s">
        <v>191</v>
      </c>
      <c r="B89" t="s">
        <v>182</v>
      </c>
      <c r="C89" t="s">
        <v>13</v>
      </c>
      <c r="D89" t="s">
        <v>14</v>
      </c>
      <c r="E89">
        <v>3</v>
      </c>
      <c r="F89">
        <v>33267</v>
      </c>
      <c r="G89">
        <f t="shared" si="1"/>
        <v>99801</v>
      </c>
      <c r="H89" t="s">
        <v>64</v>
      </c>
      <c r="I89" s="14" t="s">
        <v>65</v>
      </c>
      <c r="J89" s="1">
        <v>3.1</v>
      </c>
      <c r="K89" s="8" t="s">
        <v>669</v>
      </c>
      <c r="L89" s="8">
        <v>2026</v>
      </c>
    </row>
    <row r="90" spans="1:12">
      <c r="A90" t="s">
        <v>192</v>
      </c>
      <c r="B90" t="s">
        <v>193</v>
      </c>
      <c r="C90" t="s">
        <v>15</v>
      </c>
      <c r="D90" t="s">
        <v>7</v>
      </c>
      <c r="E90">
        <v>1</v>
      </c>
      <c r="F90">
        <v>29290</v>
      </c>
      <c r="G90">
        <f t="shared" si="1"/>
        <v>29290</v>
      </c>
      <c r="H90" t="s">
        <v>27</v>
      </c>
      <c r="I90" s="14" t="s">
        <v>65</v>
      </c>
      <c r="J90" s="1">
        <v>4.4000000000000004</v>
      </c>
      <c r="K90" s="8" t="s">
        <v>668</v>
      </c>
      <c r="L90" s="8">
        <v>2026</v>
      </c>
    </row>
    <row r="91" spans="1:12">
      <c r="A91" t="s">
        <v>194</v>
      </c>
      <c r="B91" t="s">
        <v>91</v>
      </c>
      <c r="C91" t="s">
        <v>59</v>
      </c>
      <c r="D91" t="s">
        <v>7</v>
      </c>
      <c r="E91">
        <v>3</v>
      </c>
      <c r="F91">
        <v>47354</v>
      </c>
      <c r="G91">
        <f t="shared" si="1"/>
        <v>142062</v>
      </c>
      <c r="H91" t="s">
        <v>74</v>
      </c>
      <c r="I91" s="14" t="s">
        <v>65</v>
      </c>
      <c r="J91" s="1">
        <v>4</v>
      </c>
      <c r="K91" s="8" t="s">
        <v>669</v>
      </c>
      <c r="L91" s="8">
        <v>2026</v>
      </c>
    </row>
    <row r="92" spans="1:12">
      <c r="A92" t="s">
        <v>195</v>
      </c>
      <c r="B92" t="s">
        <v>102</v>
      </c>
      <c r="C92" t="s">
        <v>6</v>
      </c>
      <c r="D92" t="s">
        <v>7</v>
      </c>
      <c r="E92">
        <v>1</v>
      </c>
      <c r="F92">
        <v>26480</v>
      </c>
      <c r="G92">
        <f t="shared" si="1"/>
        <v>26480</v>
      </c>
      <c r="H92" t="s">
        <v>35</v>
      </c>
      <c r="I92" s="14" t="s">
        <v>30</v>
      </c>
      <c r="J92" s="1">
        <v>4.8</v>
      </c>
      <c r="K92" s="8" t="s">
        <v>671</v>
      </c>
      <c r="L92" s="8">
        <v>2026</v>
      </c>
    </row>
    <row r="93" spans="1:12">
      <c r="A93" t="s">
        <v>196</v>
      </c>
      <c r="B93" t="s">
        <v>32</v>
      </c>
      <c r="C93" t="s">
        <v>52</v>
      </c>
      <c r="D93" t="s">
        <v>11</v>
      </c>
      <c r="E93">
        <v>1</v>
      </c>
      <c r="F93">
        <v>17191</v>
      </c>
      <c r="G93">
        <f t="shared" si="1"/>
        <v>17191</v>
      </c>
      <c r="H93" t="s">
        <v>74</v>
      </c>
      <c r="I93" s="14" t="s">
        <v>43</v>
      </c>
      <c r="J93" s="1">
        <v>4.3</v>
      </c>
      <c r="K93" s="8" t="s">
        <v>670</v>
      </c>
      <c r="L93" s="8">
        <v>2026</v>
      </c>
    </row>
    <row r="94" spans="1:12">
      <c r="A94" t="s">
        <v>197</v>
      </c>
      <c r="B94" t="s">
        <v>29</v>
      </c>
      <c r="C94" t="s">
        <v>79</v>
      </c>
      <c r="D94" t="s">
        <v>80</v>
      </c>
      <c r="E94">
        <v>1</v>
      </c>
      <c r="F94">
        <v>47185</v>
      </c>
      <c r="G94">
        <f t="shared" si="1"/>
        <v>47185</v>
      </c>
      <c r="H94" t="s">
        <v>74</v>
      </c>
      <c r="I94" s="14" t="s">
        <v>40</v>
      </c>
      <c r="J94" s="1">
        <v>4.5999999999999996</v>
      </c>
      <c r="K94" s="8" t="s">
        <v>671</v>
      </c>
      <c r="L94" s="8">
        <v>2026</v>
      </c>
    </row>
    <row r="95" spans="1:12">
      <c r="A95" t="s">
        <v>198</v>
      </c>
      <c r="B95" t="s">
        <v>199</v>
      </c>
      <c r="C95" t="s">
        <v>6</v>
      </c>
      <c r="D95" t="s">
        <v>7</v>
      </c>
      <c r="E95">
        <v>5</v>
      </c>
      <c r="F95">
        <v>11172</v>
      </c>
      <c r="G95">
        <f t="shared" si="1"/>
        <v>55860</v>
      </c>
      <c r="H95" t="s">
        <v>49</v>
      </c>
      <c r="I95" s="14" t="s">
        <v>8</v>
      </c>
      <c r="J95" s="1">
        <v>4.5</v>
      </c>
      <c r="K95" s="8" t="s">
        <v>654</v>
      </c>
      <c r="L95" s="8">
        <v>2026</v>
      </c>
    </row>
    <row r="96" spans="1:12">
      <c r="A96" t="s">
        <v>200</v>
      </c>
      <c r="B96" t="s">
        <v>141</v>
      </c>
      <c r="C96" t="s">
        <v>105</v>
      </c>
      <c r="D96" t="s">
        <v>106</v>
      </c>
      <c r="E96">
        <v>3</v>
      </c>
      <c r="F96">
        <v>2243</v>
      </c>
      <c r="G96">
        <f t="shared" si="1"/>
        <v>6729</v>
      </c>
      <c r="H96" t="s">
        <v>64</v>
      </c>
      <c r="I96" s="14" t="s">
        <v>8</v>
      </c>
      <c r="J96" s="1">
        <v>3.6</v>
      </c>
      <c r="K96" s="8" t="s">
        <v>672</v>
      </c>
      <c r="L96" s="8">
        <v>2026</v>
      </c>
    </row>
    <row r="97" spans="1:12">
      <c r="A97" t="s">
        <v>201</v>
      </c>
      <c r="B97" t="s">
        <v>32</v>
      </c>
      <c r="C97" t="s">
        <v>26</v>
      </c>
      <c r="D97" t="s">
        <v>7</v>
      </c>
      <c r="E97">
        <v>1</v>
      </c>
      <c r="F97">
        <v>43083</v>
      </c>
      <c r="G97">
        <f t="shared" si="1"/>
        <v>43083</v>
      </c>
      <c r="H97" t="s">
        <v>27</v>
      </c>
      <c r="I97" s="14" t="s">
        <v>8</v>
      </c>
      <c r="J97" s="1">
        <v>4.2</v>
      </c>
      <c r="K97" s="8" t="s">
        <v>654</v>
      </c>
      <c r="L97" s="8">
        <v>2026</v>
      </c>
    </row>
    <row r="98" spans="1:12">
      <c r="A98" t="s">
        <v>202</v>
      </c>
      <c r="B98" t="s">
        <v>203</v>
      </c>
      <c r="C98" t="s">
        <v>55</v>
      </c>
      <c r="D98" t="s">
        <v>56</v>
      </c>
      <c r="E98">
        <v>3</v>
      </c>
      <c r="F98">
        <v>34390</v>
      </c>
      <c r="G98">
        <f t="shared" si="1"/>
        <v>103170</v>
      </c>
      <c r="H98" t="s">
        <v>46</v>
      </c>
      <c r="I98" s="14" t="s">
        <v>65</v>
      </c>
      <c r="J98" s="1">
        <v>3.7</v>
      </c>
      <c r="K98" s="8" t="s">
        <v>671</v>
      </c>
      <c r="L98" s="8">
        <v>2026</v>
      </c>
    </row>
    <row r="99" spans="1:12">
      <c r="A99" t="s">
        <v>204</v>
      </c>
      <c r="B99" t="s">
        <v>205</v>
      </c>
      <c r="C99" t="s">
        <v>10</v>
      </c>
      <c r="D99" t="s">
        <v>11</v>
      </c>
      <c r="E99">
        <v>4</v>
      </c>
      <c r="F99">
        <v>15607</v>
      </c>
      <c r="G99">
        <f t="shared" si="1"/>
        <v>62428</v>
      </c>
      <c r="H99" t="s">
        <v>27</v>
      </c>
      <c r="I99" s="14" t="s">
        <v>8</v>
      </c>
      <c r="J99" s="1">
        <v>3.8</v>
      </c>
      <c r="K99" s="8" t="s">
        <v>668</v>
      </c>
      <c r="L99" s="8">
        <v>2026</v>
      </c>
    </row>
    <row r="100" spans="1:12">
      <c r="A100" t="s">
        <v>206</v>
      </c>
      <c r="B100" t="s">
        <v>205</v>
      </c>
      <c r="C100" t="s">
        <v>105</v>
      </c>
      <c r="D100" t="s">
        <v>106</v>
      </c>
      <c r="E100">
        <v>3</v>
      </c>
      <c r="F100">
        <v>43731</v>
      </c>
      <c r="G100">
        <f t="shared" si="1"/>
        <v>131193</v>
      </c>
      <c r="H100" t="s">
        <v>9</v>
      </c>
      <c r="I100" s="14" t="s">
        <v>65</v>
      </c>
      <c r="J100" s="1">
        <v>3.9</v>
      </c>
      <c r="K100" s="8" t="s">
        <v>670</v>
      </c>
      <c r="L100" s="8">
        <v>2026</v>
      </c>
    </row>
    <row r="101" spans="1:12">
      <c r="A101" t="s">
        <v>207</v>
      </c>
      <c r="B101" t="s">
        <v>155</v>
      </c>
      <c r="C101" t="s">
        <v>79</v>
      </c>
      <c r="D101" t="s">
        <v>80</v>
      </c>
      <c r="E101">
        <v>5</v>
      </c>
      <c r="F101">
        <v>40517</v>
      </c>
      <c r="G101">
        <f t="shared" si="1"/>
        <v>202585</v>
      </c>
      <c r="H101" t="s">
        <v>49</v>
      </c>
      <c r="I101" s="14" t="s">
        <v>40</v>
      </c>
      <c r="J101" s="1">
        <v>3.8</v>
      </c>
      <c r="K101" s="8" t="s">
        <v>671</v>
      </c>
      <c r="L101" s="8">
        <v>2026</v>
      </c>
    </row>
    <row r="102" spans="1:12">
      <c r="A102" t="s">
        <v>208</v>
      </c>
      <c r="B102" t="s">
        <v>175</v>
      </c>
      <c r="C102" t="s">
        <v>12</v>
      </c>
      <c r="D102" t="s">
        <v>7</v>
      </c>
      <c r="E102">
        <v>5</v>
      </c>
      <c r="F102">
        <v>35108</v>
      </c>
      <c r="G102">
        <f t="shared" si="1"/>
        <v>175540</v>
      </c>
      <c r="H102" t="s">
        <v>74</v>
      </c>
      <c r="I102" s="14" t="s">
        <v>8</v>
      </c>
      <c r="J102" s="1">
        <v>3.9</v>
      </c>
      <c r="K102" s="8" t="s">
        <v>669</v>
      </c>
      <c r="L102" s="8">
        <v>2026</v>
      </c>
    </row>
    <row r="103" spans="1:12">
      <c r="A103" t="s">
        <v>209</v>
      </c>
      <c r="B103" t="s">
        <v>210</v>
      </c>
      <c r="C103" t="s">
        <v>105</v>
      </c>
      <c r="D103" t="s">
        <v>106</v>
      </c>
      <c r="E103">
        <v>2</v>
      </c>
      <c r="F103">
        <v>23237</v>
      </c>
      <c r="G103">
        <f t="shared" si="1"/>
        <v>46474</v>
      </c>
      <c r="H103" t="s">
        <v>64</v>
      </c>
      <c r="I103" s="14" t="s">
        <v>43</v>
      </c>
      <c r="J103" s="1">
        <v>4.8</v>
      </c>
      <c r="K103" s="8" t="s">
        <v>654</v>
      </c>
      <c r="L103" s="8">
        <v>2026</v>
      </c>
    </row>
    <row r="104" spans="1:12">
      <c r="A104" t="s">
        <v>211</v>
      </c>
      <c r="B104" t="s">
        <v>175</v>
      </c>
      <c r="C104" t="s">
        <v>26</v>
      </c>
      <c r="D104" t="s">
        <v>7</v>
      </c>
      <c r="E104">
        <v>5</v>
      </c>
      <c r="F104">
        <v>16211</v>
      </c>
      <c r="G104">
        <f t="shared" si="1"/>
        <v>81055</v>
      </c>
      <c r="H104" t="s">
        <v>46</v>
      </c>
      <c r="I104" s="14" t="s">
        <v>30</v>
      </c>
      <c r="J104" s="1">
        <v>4.5999999999999996</v>
      </c>
      <c r="K104" s="8" t="s">
        <v>669</v>
      </c>
      <c r="L104" s="8">
        <v>2026</v>
      </c>
    </row>
    <row r="105" spans="1:12">
      <c r="A105" t="s">
        <v>212</v>
      </c>
      <c r="B105" t="s">
        <v>213</v>
      </c>
      <c r="C105" t="s">
        <v>79</v>
      </c>
      <c r="D105" t="s">
        <v>80</v>
      </c>
      <c r="E105">
        <v>4</v>
      </c>
      <c r="F105">
        <v>28117</v>
      </c>
      <c r="G105">
        <f t="shared" si="1"/>
        <v>112468</v>
      </c>
      <c r="H105" t="s">
        <v>64</v>
      </c>
      <c r="I105" s="14" t="s">
        <v>43</v>
      </c>
      <c r="J105" s="1">
        <v>4.5999999999999996</v>
      </c>
      <c r="K105" s="8" t="s">
        <v>670</v>
      </c>
      <c r="L105" s="8">
        <v>2026</v>
      </c>
    </row>
    <row r="106" spans="1:12">
      <c r="A106" t="s">
        <v>214</v>
      </c>
      <c r="B106" t="s">
        <v>184</v>
      </c>
      <c r="C106" t="s">
        <v>52</v>
      </c>
      <c r="D106" t="s">
        <v>11</v>
      </c>
      <c r="E106">
        <v>1</v>
      </c>
      <c r="F106">
        <v>42459</v>
      </c>
      <c r="G106">
        <f t="shared" si="1"/>
        <v>42459</v>
      </c>
      <c r="H106" t="s">
        <v>64</v>
      </c>
      <c r="I106" s="14" t="s">
        <v>8</v>
      </c>
      <c r="J106" s="1">
        <v>3.3</v>
      </c>
      <c r="K106" s="8" t="s">
        <v>668</v>
      </c>
      <c r="L106" s="8">
        <v>2026</v>
      </c>
    </row>
    <row r="107" spans="1:12">
      <c r="A107" t="s">
        <v>215</v>
      </c>
      <c r="B107" t="s">
        <v>112</v>
      </c>
      <c r="C107" t="s">
        <v>79</v>
      </c>
      <c r="D107" t="s">
        <v>80</v>
      </c>
      <c r="E107">
        <v>1</v>
      </c>
      <c r="F107">
        <v>39282</v>
      </c>
      <c r="G107">
        <f t="shared" si="1"/>
        <v>39282</v>
      </c>
      <c r="H107" t="s">
        <v>46</v>
      </c>
      <c r="I107" s="14" t="s">
        <v>43</v>
      </c>
      <c r="J107" s="1">
        <v>4.9000000000000004</v>
      </c>
      <c r="K107" s="8" t="s">
        <v>672</v>
      </c>
      <c r="L107" s="8">
        <v>2026</v>
      </c>
    </row>
    <row r="108" spans="1:12">
      <c r="A108" t="s">
        <v>216</v>
      </c>
      <c r="B108" t="s">
        <v>78</v>
      </c>
      <c r="C108" t="s">
        <v>10</v>
      </c>
      <c r="D108" t="s">
        <v>11</v>
      </c>
      <c r="E108">
        <v>5</v>
      </c>
      <c r="F108">
        <v>29569</v>
      </c>
      <c r="G108">
        <f t="shared" si="1"/>
        <v>147845</v>
      </c>
      <c r="H108" t="s">
        <v>9</v>
      </c>
      <c r="I108" s="14" t="s">
        <v>43</v>
      </c>
      <c r="J108" s="1">
        <v>3.6</v>
      </c>
      <c r="K108" s="8" t="s">
        <v>669</v>
      </c>
      <c r="L108" s="8">
        <v>2026</v>
      </c>
    </row>
    <row r="109" spans="1:12">
      <c r="A109" t="s">
        <v>217</v>
      </c>
      <c r="B109" t="s">
        <v>122</v>
      </c>
      <c r="C109" t="s">
        <v>12</v>
      </c>
      <c r="D109" t="s">
        <v>7</v>
      </c>
      <c r="E109">
        <v>3</v>
      </c>
      <c r="F109">
        <v>48814</v>
      </c>
      <c r="G109">
        <f t="shared" si="1"/>
        <v>146442</v>
      </c>
      <c r="H109" t="s">
        <v>35</v>
      </c>
      <c r="I109" s="14" t="s">
        <v>8</v>
      </c>
      <c r="J109" s="1">
        <v>3.9</v>
      </c>
      <c r="K109" s="8" t="s">
        <v>669</v>
      </c>
      <c r="L109" s="8">
        <v>2026</v>
      </c>
    </row>
    <row r="110" spans="1:12">
      <c r="A110" t="s">
        <v>218</v>
      </c>
      <c r="B110" t="s">
        <v>219</v>
      </c>
      <c r="C110" t="s">
        <v>6</v>
      </c>
      <c r="D110" t="s">
        <v>7</v>
      </c>
      <c r="E110">
        <v>3</v>
      </c>
      <c r="F110">
        <v>40787</v>
      </c>
      <c r="G110">
        <f t="shared" si="1"/>
        <v>122361</v>
      </c>
      <c r="H110" t="s">
        <v>64</v>
      </c>
      <c r="I110" s="14" t="s">
        <v>8</v>
      </c>
      <c r="J110" s="1">
        <v>4.5999999999999996</v>
      </c>
      <c r="K110" s="8" t="s">
        <v>668</v>
      </c>
      <c r="L110" s="8">
        <v>2026</v>
      </c>
    </row>
    <row r="111" spans="1:12">
      <c r="A111" t="s">
        <v>220</v>
      </c>
      <c r="B111" t="s">
        <v>175</v>
      </c>
      <c r="C111" t="s">
        <v>16</v>
      </c>
      <c r="D111" t="s">
        <v>14</v>
      </c>
      <c r="E111">
        <v>1</v>
      </c>
      <c r="F111">
        <v>46257</v>
      </c>
      <c r="G111">
        <f t="shared" si="1"/>
        <v>46257</v>
      </c>
      <c r="H111" t="s">
        <v>49</v>
      </c>
      <c r="I111" s="14" t="s">
        <v>8</v>
      </c>
      <c r="J111" s="1">
        <v>4.5999999999999996</v>
      </c>
      <c r="K111" s="8" t="s">
        <v>672</v>
      </c>
      <c r="L111" s="8">
        <v>2026</v>
      </c>
    </row>
    <row r="112" spans="1:12">
      <c r="A112" t="s">
        <v>221</v>
      </c>
      <c r="B112" t="s">
        <v>114</v>
      </c>
      <c r="C112" t="s">
        <v>10</v>
      </c>
      <c r="D112" t="s">
        <v>11</v>
      </c>
      <c r="E112">
        <v>1</v>
      </c>
      <c r="F112">
        <v>36881</v>
      </c>
      <c r="G112">
        <f t="shared" si="1"/>
        <v>36881</v>
      </c>
      <c r="H112" t="s">
        <v>35</v>
      </c>
      <c r="I112" s="14" t="s">
        <v>8</v>
      </c>
      <c r="J112" s="1">
        <v>4.9000000000000004</v>
      </c>
      <c r="K112" s="8" t="s">
        <v>668</v>
      </c>
      <c r="L112" s="8">
        <v>2026</v>
      </c>
    </row>
    <row r="113" spans="1:12">
      <c r="A113" t="s">
        <v>222</v>
      </c>
      <c r="B113" t="s">
        <v>223</v>
      </c>
      <c r="C113" t="s">
        <v>55</v>
      </c>
      <c r="D113" t="s">
        <v>56</v>
      </c>
      <c r="E113">
        <v>2</v>
      </c>
      <c r="F113">
        <v>43634</v>
      </c>
      <c r="G113">
        <f t="shared" si="1"/>
        <v>87268</v>
      </c>
      <c r="H113" t="s">
        <v>27</v>
      </c>
      <c r="I113" s="14" t="s">
        <v>65</v>
      </c>
      <c r="J113" s="1">
        <v>4.8</v>
      </c>
      <c r="K113" s="8" t="s">
        <v>668</v>
      </c>
      <c r="L113" s="8">
        <v>2026</v>
      </c>
    </row>
    <row r="114" spans="1:12">
      <c r="A114" t="s">
        <v>224</v>
      </c>
      <c r="B114" t="s">
        <v>225</v>
      </c>
      <c r="C114" t="s">
        <v>55</v>
      </c>
      <c r="D114" t="s">
        <v>56</v>
      </c>
      <c r="E114">
        <v>1</v>
      </c>
      <c r="F114">
        <v>45054</v>
      </c>
      <c r="G114">
        <f t="shared" si="1"/>
        <v>45054</v>
      </c>
      <c r="H114" t="s">
        <v>64</v>
      </c>
      <c r="I114" s="14" t="s">
        <v>65</v>
      </c>
      <c r="J114" s="1">
        <v>3.9</v>
      </c>
      <c r="K114" s="8" t="s">
        <v>668</v>
      </c>
      <c r="L114" s="8">
        <v>2026</v>
      </c>
    </row>
    <row r="115" spans="1:12">
      <c r="A115" t="s">
        <v>226</v>
      </c>
      <c r="B115" t="s">
        <v>108</v>
      </c>
      <c r="C115" t="s">
        <v>105</v>
      </c>
      <c r="D115" t="s">
        <v>106</v>
      </c>
      <c r="E115">
        <v>1</v>
      </c>
      <c r="F115">
        <v>45609</v>
      </c>
      <c r="G115">
        <f t="shared" si="1"/>
        <v>45609</v>
      </c>
      <c r="H115" t="s">
        <v>64</v>
      </c>
      <c r="I115" s="14" t="s">
        <v>30</v>
      </c>
      <c r="J115" s="1">
        <v>3.7</v>
      </c>
      <c r="K115" s="8" t="s">
        <v>671</v>
      </c>
      <c r="L115" s="8">
        <v>2026</v>
      </c>
    </row>
    <row r="116" spans="1:12">
      <c r="A116" t="s">
        <v>227</v>
      </c>
      <c r="B116" t="s">
        <v>228</v>
      </c>
      <c r="C116" t="s">
        <v>6</v>
      </c>
      <c r="D116" t="s">
        <v>7</v>
      </c>
      <c r="E116">
        <v>2</v>
      </c>
      <c r="F116">
        <v>18322</v>
      </c>
      <c r="G116">
        <f t="shared" si="1"/>
        <v>36644</v>
      </c>
      <c r="H116" t="s">
        <v>49</v>
      </c>
      <c r="I116" s="14" t="s">
        <v>8</v>
      </c>
      <c r="J116" s="1">
        <v>3.2</v>
      </c>
      <c r="K116" s="8" t="s">
        <v>672</v>
      </c>
      <c r="L116" s="8">
        <v>2026</v>
      </c>
    </row>
    <row r="117" spans="1:12">
      <c r="A117" t="s">
        <v>229</v>
      </c>
      <c r="B117" t="s">
        <v>137</v>
      </c>
      <c r="C117" t="s">
        <v>10</v>
      </c>
      <c r="D117" t="s">
        <v>11</v>
      </c>
      <c r="E117">
        <v>5</v>
      </c>
      <c r="F117">
        <v>36240</v>
      </c>
      <c r="G117">
        <f t="shared" si="1"/>
        <v>181200</v>
      </c>
      <c r="H117" t="s">
        <v>74</v>
      </c>
      <c r="I117" s="14" t="s">
        <v>30</v>
      </c>
      <c r="J117" s="1">
        <v>3.5</v>
      </c>
      <c r="K117" s="8" t="s">
        <v>669</v>
      </c>
      <c r="L117" s="8">
        <v>2026</v>
      </c>
    </row>
    <row r="118" spans="1:12">
      <c r="A118" t="s">
        <v>230</v>
      </c>
      <c r="B118" t="s">
        <v>37</v>
      </c>
      <c r="C118" t="s">
        <v>26</v>
      </c>
      <c r="D118" t="s">
        <v>7</v>
      </c>
      <c r="E118">
        <v>4</v>
      </c>
      <c r="F118">
        <v>43933</v>
      </c>
      <c r="G118">
        <f t="shared" si="1"/>
        <v>175732</v>
      </c>
      <c r="H118" t="s">
        <v>49</v>
      </c>
      <c r="I118" s="14" t="s">
        <v>65</v>
      </c>
      <c r="J118" s="1">
        <v>3.2</v>
      </c>
      <c r="K118" s="8" t="s">
        <v>668</v>
      </c>
      <c r="L118" s="8">
        <v>2026</v>
      </c>
    </row>
    <row r="119" spans="1:12">
      <c r="A119" t="s">
        <v>231</v>
      </c>
      <c r="B119" t="s">
        <v>63</v>
      </c>
      <c r="C119" t="s">
        <v>15</v>
      </c>
      <c r="D119" t="s">
        <v>7</v>
      </c>
      <c r="E119">
        <v>5</v>
      </c>
      <c r="F119">
        <v>19691</v>
      </c>
      <c r="G119">
        <f t="shared" si="1"/>
        <v>98455</v>
      </c>
      <c r="H119" t="s">
        <v>35</v>
      </c>
      <c r="I119" s="14" t="s">
        <v>43</v>
      </c>
      <c r="J119" s="1">
        <v>4</v>
      </c>
      <c r="K119" s="8" t="s">
        <v>671</v>
      </c>
      <c r="L119" s="8">
        <v>2026</v>
      </c>
    </row>
    <row r="120" spans="1:12">
      <c r="A120" t="s">
        <v>232</v>
      </c>
      <c r="B120" t="s">
        <v>213</v>
      </c>
      <c r="C120" t="s">
        <v>26</v>
      </c>
      <c r="D120" t="s">
        <v>7</v>
      </c>
      <c r="E120">
        <v>5</v>
      </c>
      <c r="F120">
        <v>49645</v>
      </c>
      <c r="G120">
        <f t="shared" si="1"/>
        <v>248225</v>
      </c>
      <c r="H120" t="s">
        <v>64</v>
      </c>
      <c r="I120" s="14" t="s">
        <v>43</v>
      </c>
      <c r="J120" s="1">
        <v>4.5999999999999996</v>
      </c>
      <c r="K120" s="8" t="s">
        <v>654</v>
      </c>
      <c r="L120" s="8">
        <v>2026</v>
      </c>
    </row>
    <row r="121" spans="1:12">
      <c r="A121" t="s">
        <v>233</v>
      </c>
      <c r="B121" t="s">
        <v>205</v>
      </c>
      <c r="C121" t="s">
        <v>6</v>
      </c>
      <c r="D121" t="s">
        <v>7</v>
      </c>
      <c r="E121">
        <v>1</v>
      </c>
      <c r="F121">
        <v>3412</v>
      </c>
      <c r="G121">
        <f t="shared" si="1"/>
        <v>3412</v>
      </c>
      <c r="H121" t="s">
        <v>27</v>
      </c>
      <c r="I121" s="14" t="s">
        <v>8</v>
      </c>
      <c r="J121" s="1">
        <v>3.9</v>
      </c>
      <c r="K121" s="8" t="s">
        <v>668</v>
      </c>
      <c r="L121" s="8">
        <v>2026</v>
      </c>
    </row>
    <row r="122" spans="1:12">
      <c r="A122" t="s">
        <v>234</v>
      </c>
      <c r="B122" t="s">
        <v>235</v>
      </c>
      <c r="C122" t="s">
        <v>59</v>
      </c>
      <c r="D122" t="s">
        <v>7</v>
      </c>
      <c r="E122">
        <v>2</v>
      </c>
      <c r="F122">
        <v>38909</v>
      </c>
      <c r="G122">
        <f t="shared" si="1"/>
        <v>77818</v>
      </c>
      <c r="H122" t="s">
        <v>35</v>
      </c>
      <c r="I122" s="14" t="s">
        <v>8</v>
      </c>
      <c r="J122" s="1">
        <v>4.5</v>
      </c>
      <c r="K122" s="8" t="s">
        <v>671</v>
      </c>
      <c r="L122" s="8">
        <v>2026</v>
      </c>
    </row>
    <row r="123" spans="1:12">
      <c r="A123" t="s">
        <v>236</v>
      </c>
      <c r="B123" t="s">
        <v>237</v>
      </c>
      <c r="C123" t="s">
        <v>15</v>
      </c>
      <c r="D123" t="s">
        <v>7</v>
      </c>
      <c r="E123">
        <v>2</v>
      </c>
      <c r="F123">
        <v>43951</v>
      </c>
      <c r="G123">
        <f t="shared" si="1"/>
        <v>87902</v>
      </c>
      <c r="H123" t="s">
        <v>9</v>
      </c>
      <c r="I123" s="14" t="s">
        <v>8</v>
      </c>
      <c r="J123" s="1">
        <v>4.5</v>
      </c>
      <c r="K123" s="8" t="s">
        <v>654</v>
      </c>
      <c r="L123" s="8">
        <v>2026</v>
      </c>
    </row>
    <row r="124" spans="1:12">
      <c r="A124" t="s">
        <v>238</v>
      </c>
      <c r="B124" t="s">
        <v>32</v>
      </c>
      <c r="C124" t="s">
        <v>26</v>
      </c>
      <c r="D124" t="s">
        <v>7</v>
      </c>
      <c r="E124">
        <v>3</v>
      </c>
      <c r="F124">
        <v>31306</v>
      </c>
      <c r="G124">
        <f t="shared" si="1"/>
        <v>93918</v>
      </c>
      <c r="H124" t="s">
        <v>35</v>
      </c>
      <c r="I124" s="14" t="s">
        <v>8</v>
      </c>
      <c r="J124" s="1">
        <v>3.4</v>
      </c>
      <c r="K124" s="8" t="s">
        <v>672</v>
      </c>
      <c r="L124" s="8">
        <v>2026</v>
      </c>
    </row>
    <row r="125" spans="1:12">
      <c r="A125" t="s">
        <v>239</v>
      </c>
      <c r="B125" t="s">
        <v>39</v>
      </c>
      <c r="C125" t="s">
        <v>13</v>
      </c>
      <c r="D125" t="s">
        <v>14</v>
      </c>
      <c r="E125">
        <v>2</v>
      </c>
      <c r="F125">
        <v>27497</v>
      </c>
      <c r="G125">
        <f t="shared" si="1"/>
        <v>54994</v>
      </c>
      <c r="H125" t="s">
        <v>46</v>
      </c>
      <c r="I125" s="14" t="s">
        <v>30</v>
      </c>
      <c r="J125" s="1">
        <v>4.5999999999999996</v>
      </c>
      <c r="K125" s="8" t="s">
        <v>670</v>
      </c>
      <c r="L125" s="8">
        <v>2026</v>
      </c>
    </row>
    <row r="126" spans="1:12">
      <c r="A126" t="s">
        <v>240</v>
      </c>
      <c r="B126" t="s">
        <v>167</v>
      </c>
      <c r="C126" t="s">
        <v>52</v>
      </c>
      <c r="D126" t="s">
        <v>11</v>
      </c>
      <c r="E126">
        <v>5</v>
      </c>
      <c r="F126">
        <v>6932</v>
      </c>
      <c r="G126">
        <f t="shared" si="1"/>
        <v>34660</v>
      </c>
      <c r="H126" t="s">
        <v>35</v>
      </c>
      <c r="I126" s="14" t="s">
        <v>65</v>
      </c>
      <c r="J126" s="1">
        <v>4.4000000000000004</v>
      </c>
      <c r="K126" s="8" t="s">
        <v>668</v>
      </c>
      <c r="L126" s="8">
        <v>2026</v>
      </c>
    </row>
    <row r="127" spans="1:12">
      <c r="A127" t="s">
        <v>241</v>
      </c>
      <c r="B127" t="s">
        <v>98</v>
      </c>
      <c r="C127" t="s">
        <v>55</v>
      </c>
      <c r="D127" t="s">
        <v>56</v>
      </c>
      <c r="E127">
        <v>4</v>
      </c>
      <c r="F127">
        <v>8703</v>
      </c>
      <c r="G127">
        <f t="shared" si="1"/>
        <v>34812</v>
      </c>
      <c r="H127" t="s">
        <v>35</v>
      </c>
      <c r="I127" s="14" t="s">
        <v>65</v>
      </c>
      <c r="J127" s="1">
        <v>4.4000000000000004</v>
      </c>
      <c r="K127" s="8" t="s">
        <v>672</v>
      </c>
      <c r="L127" s="8">
        <v>2026</v>
      </c>
    </row>
    <row r="128" spans="1:12">
      <c r="A128" t="s">
        <v>242</v>
      </c>
      <c r="B128" t="s">
        <v>126</v>
      </c>
      <c r="C128" t="s">
        <v>12</v>
      </c>
      <c r="D128" t="s">
        <v>7</v>
      </c>
      <c r="E128">
        <v>2</v>
      </c>
      <c r="F128">
        <v>11062</v>
      </c>
      <c r="G128">
        <f t="shared" si="1"/>
        <v>22124</v>
      </c>
      <c r="H128" t="s">
        <v>46</v>
      </c>
      <c r="I128" s="14" t="s">
        <v>30</v>
      </c>
      <c r="J128" s="1">
        <v>3.2</v>
      </c>
      <c r="K128" s="8" t="s">
        <v>669</v>
      </c>
      <c r="L128" s="8">
        <v>2026</v>
      </c>
    </row>
    <row r="129" spans="1:12">
      <c r="A129" t="s">
        <v>243</v>
      </c>
      <c r="B129" t="s">
        <v>132</v>
      </c>
      <c r="C129" t="s">
        <v>26</v>
      </c>
      <c r="D129" t="s">
        <v>7</v>
      </c>
      <c r="E129">
        <v>4</v>
      </c>
      <c r="F129">
        <v>22139</v>
      </c>
      <c r="G129">
        <f t="shared" si="1"/>
        <v>88556</v>
      </c>
      <c r="H129" t="s">
        <v>64</v>
      </c>
      <c r="I129" s="14" t="s">
        <v>43</v>
      </c>
      <c r="J129" s="1">
        <v>3.3</v>
      </c>
      <c r="K129" s="8" t="s">
        <v>670</v>
      </c>
      <c r="L129" s="8">
        <v>2026</v>
      </c>
    </row>
    <row r="130" spans="1:12">
      <c r="A130" t="s">
        <v>244</v>
      </c>
      <c r="B130" t="s">
        <v>71</v>
      </c>
      <c r="C130" t="s">
        <v>16</v>
      </c>
      <c r="D130" t="s">
        <v>14</v>
      </c>
      <c r="E130">
        <v>1</v>
      </c>
      <c r="F130">
        <v>33490</v>
      </c>
      <c r="G130">
        <f t="shared" si="1"/>
        <v>33490</v>
      </c>
      <c r="H130" t="s">
        <v>74</v>
      </c>
      <c r="I130" s="14" t="s">
        <v>40</v>
      </c>
      <c r="J130" s="1">
        <v>4.3</v>
      </c>
      <c r="K130" s="8" t="s">
        <v>671</v>
      </c>
      <c r="L130" s="8">
        <v>2026</v>
      </c>
    </row>
    <row r="131" spans="1:12">
      <c r="A131" t="s">
        <v>245</v>
      </c>
      <c r="B131" t="s">
        <v>150</v>
      </c>
      <c r="C131" t="s">
        <v>79</v>
      </c>
      <c r="D131" t="s">
        <v>80</v>
      </c>
      <c r="E131">
        <v>2</v>
      </c>
      <c r="F131">
        <v>17751</v>
      </c>
      <c r="G131">
        <f t="shared" ref="G131:G194" si="2">SUM(F131*E131)</f>
        <v>35502</v>
      </c>
      <c r="H131" t="s">
        <v>64</v>
      </c>
      <c r="I131" s="14" t="s">
        <v>8</v>
      </c>
      <c r="J131" s="1">
        <v>4.5</v>
      </c>
      <c r="K131" s="8" t="s">
        <v>670</v>
      </c>
      <c r="L131" s="8">
        <v>2026</v>
      </c>
    </row>
    <row r="132" spans="1:12">
      <c r="A132" t="s">
        <v>246</v>
      </c>
      <c r="B132" t="s">
        <v>173</v>
      </c>
      <c r="C132" t="s">
        <v>79</v>
      </c>
      <c r="D132" t="s">
        <v>80</v>
      </c>
      <c r="E132">
        <v>2</v>
      </c>
      <c r="F132">
        <v>25309</v>
      </c>
      <c r="G132">
        <f t="shared" si="2"/>
        <v>50618</v>
      </c>
      <c r="H132" t="s">
        <v>35</v>
      </c>
      <c r="I132" s="14" t="s">
        <v>30</v>
      </c>
      <c r="J132" s="1">
        <v>4.5999999999999996</v>
      </c>
      <c r="K132" s="8" t="s">
        <v>669</v>
      </c>
      <c r="L132" s="8">
        <v>2026</v>
      </c>
    </row>
    <row r="133" spans="1:12">
      <c r="A133" t="s">
        <v>247</v>
      </c>
      <c r="B133" t="s">
        <v>248</v>
      </c>
      <c r="C133" t="s">
        <v>79</v>
      </c>
      <c r="D133" t="s">
        <v>80</v>
      </c>
      <c r="E133">
        <v>3</v>
      </c>
      <c r="F133">
        <v>35889</v>
      </c>
      <c r="G133">
        <f t="shared" si="2"/>
        <v>107667</v>
      </c>
      <c r="H133" t="s">
        <v>49</v>
      </c>
      <c r="I133" s="14" t="s">
        <v>65</v>
      </c>
      <c r="J133" s="1">
        <v>4.4000000000000004</v>
      </c>
      <c r="K133" s="8" t="s">
        <v>654</v>
      </c>
      <c r="L133" s="8">
        <v>2026</v>
      </c>
    </row>
    <row r="134" spans="1:12">
      <c r="A134" t="s">
        <v>249</v>
      </c>
      <c r="B134" t="s">
        <v>157</v>
      </c>
      <c r="C134" t="s">
        <v>79</v>
      </c>
      <c r="D134" t="s">
        <v>80</v>
      </c>
      <c r="E134">
        <v>2</v>
      </c>
      <c r="F134">
        <v>1518</v>
      </c>
      <c r="G134">
        <f t="shared" si="2"/>
        <v>3036</v>
      </c>
      <c r="H134" t="s">
        <v>49</v>
      </c>
      <c r="I134" s="14" t="s">
        <v>8</v>
      </c>
      <c r="J134" s="1">
        <v>4.8</v>
      </c>
      <c r="K134" s="8" t="s">
        <v>669</v>
      </c>
      <c r="L134" s="8">
        <v>2026</v>
      </c>
    </row>
    <row r="135" spans="1:12">
      <c r="A135" t="s">
        <v>250</v>
      </c>
      <c r="B135" t="s">
        <v>159</v>
      </c>
      <c r="C135" t="s">
        <v>105</v>
      </c>
      <c r="D135" t="s">
        <v>106</v>
      </c>
      <c r="E135">
        <v>3</v>
      </c>
      <c r="F135">
        <v>6705</v>
      </c>
      <c r="G135">
        <f t="shared" si="2"/>
        <v>20115</v>
      </c>
      <c r="H135" t="s">
        <v>46</v>
      </c>
      <c r="I135" s="14" t="s">
        <v>65</v>
      </c>
      <c r="J135" s="1">
        <v>3.4</v>
      </c>
      <c r="K135" s="8" t="s">
        <v>672</v>
      </c>
      <c r="L135" s="8">
        <v>2026</v>
      </c>
    </row>
    <row r="136" spans="1:12">
      <c r="A136" t="s">
        <v>251</v>
      </c>
      <c r="B136" t="s">
        <v>223</v>
      </c>
      <c r="C136" t="s">
        <v>26</v>
      </c>
      <c r="D136" t="s">
        <v>7</v>
      </c>
      <c r="E136">
        <v>1</v>
      </c>
      <c r="F136">
        <v>32012</v>
      </c>
      <c r="G136">
        <f t="shared" si="2"/>
        <v>32012</v>
      </c>
      <c r="H136" t="s">
        <v>64</v>
      </c>
      <c r="I136" s="14" t="s">
        <v>30</v>
      </c>
      <c r="J136" s="1">
        <v>5</v>
      </c>
      <c r="K136" s="8" t="s">
        <v>668</v>
      </c>
      <c r="L136" s="8">
        <v>2026</v>
      </c>
    </row>
    <row r="137" spans="1:12">
      <c r="A137" t="s">
        <v>252</v>
      </c>
      <c r="B137" t="s">
        <v>184</v>
      </c>
      <c r="C137" t="s">
        <v>12</v>
      </c>
      <c r="D137" t="s">
        <v>7</v>
      </c>
      <c r="E137">
        <v>5</v>
      </c>
      <c r="F137">
        <v>42348</v>
      </c>
      <c r="G137">
        <f t="shared" si="2"/>
        <v>211740</v>
      </c>
      <c r="H137" t="s">
        <v>49</v>
      </c>
      <c r="I137" s="14" t="s">
        <v>43</v>
      </c>
      <c r="J137" s="1">
        <v>3.6</v>
      </c>
      <c r="K137" s="8" t="s">
        <v>671</v>
      </c>
      <c r="L137" s="8">
        <v>2026</v>
      </c>
    </row>
    <row r="138" spans="1:12">
      <c r="A138" t="s">
        <v>253</v>
      </c>
      <c r="B138" t="s">
        <v>193</v>
      </c>
      <c r="C138" t="s">
        <v>10</v>
      </c>
      <c r="D138" t="s">
        <v>11</v>
      </c>
      <c r="E138">
        <v>5</v>
      </c>
      <c r="F138">
        <v>11626</v>
      </c>
      <c r="G138">
        <f t="shared" si="2"/>
        <v>58130</v>
      </c>
      <c r="H138" t="s">
        <v>46</v>
      </c>
      <c r="I138" s="14" t="s">
        <v>43</v>
      </c>
      <c r="J138" s="1">
        <v>5</v>
      </c>
      <c r="K138" s="8" t="s">
        <v>669</v>
      </c>
      <c r="L138" s="8">
        <v>2026</v>
      </c>
    </row>
    <row r="139" spans="1:12">
      <c r="A139" t="s">
        <v>254</v>
      </c>
      <c r="B139" t="s">
        <v>100</v>
      </c>
      <c r="C139" t="s">
        <v>6</v>
      </c>
      <c r="D139" t="s">
        <v>7</v>
      </c>
      <c r="E139">
        <v>5</v>
      </c>
      <c r="F139">
        <v>47452</v>
      </c>
      <c r="G139">
        <f t="shared" si="2"/>
        <v>237260</v>
      </c>
      <c r="H139" t="s">
        <v>74</v>
      </c>
      <c r="I139" s="14" t="s">
        <v>40</v>
      </c>
      <c r="J139" s="1">
        <v>3.9</v>
      </c>
      <c r="K139" s="8" t="s">
        <v>668</v>
      </c>
      <c r="L139" s="8">
        <v>2026</v>
      </c>
    </row>
    <row r="140" spans="1:12">
      <c r="A140" t="s">
        <v>255</v>
      </c>
      <c r="B140" t="s">
        <v>39</v>
      </c>
      <c r="C140" t="s">
        <v>15</v>
      </c>
      <c r="D140" t="s">
        <v>7</v>
      </c>
      <c r="E140">
        <v>1</v>
      </c>
      <c r="F140">
        <v>27899</v>
      </c>
      <c r="G140">
        <f t="shared" si="2"/>
        <v>27899</v>
      </c>
      <c r="H140" t="s">
        <v>27</v>
      </c>
      <c r="I140" s="14" t="s">
        <v>40</v>
      </c>
      <c r="J140" s="1">
        <v>4.5</v>
      </c>
      <c r="K140" s="8" t="s">
        <v>671</v>
      </c>
      <c r="L140" s="8">
        <v>2026</v>
      </c>
    </row>
    <row r="141" spans="1:12">
      <c r="A141" t="s">
        <v>256</v>
      </c>
      <c r="B141" t="s">
        <v>257</v>
      </c>
      <c r="C141" t="s">
        <v>16</v>
      </c>
      <c r="D141" t="s">
        <v>14</v>
      </c>
      <c r="E141">
        <v>2</v>
      </c>
      <c r="F141">
        <v>4810</v>
      </c>
      <c r="G141">
        <f t="shared" si="2"/>
        <v>9620</v>
      </c>
      <c r="H141" t="s">
        <v>64</v>
      </c>
      <c r="I141" s="14" t="s">
        <v>65</v>
      </c>
      <c r="J141" s="1">
        <v>3.5</v>
      </c>
      <c r="K141" s="8" t="s">
        <v>668</v>
      </c>
      <c r="L141" s="8">
        <v>2026</v>
      </c>
    </row>
    <row r="142" spans="1:12">
      <c r="A142" t="s">
        <v>258</v>
      </c>
      <c r="B142" t="s">
        <v>84</v>
      </c>
      <c r="C142" t="s">
        <v>79</v>
      </c>
      <c r="D142" t="s">
        <v>80</v>
      </c>
      <c r="E142">
        <v>5</v>
      </c>
      <c r="F142">
        <v>35459</v>
      </c>
      <c r="G142">
        <f t="shared" si="2"/>
        <v>177295</v>
      </c>
      <c r="H142" t="s">
        <v>46</v>
      </c>
      <c r="I142" s="14" t="s">
        <v>8</v>
      </c>
      <c r="J142" s="1">
        <v>4</v>
      </c>
      <c r="K142" s="8" t="s">
        <v>654</v>
      </c>
      <c r="L142" s="8">
        <v>2026</v>
      </c>
    </row>
    <row r="143" spans="1:12">
      <c r="A143" t="s">
        <v>259</v>
      </c>
      <c r="B143" t="s">
        <v>210</v>
      </c>
      <c r="C143" t="s">
        <v>15</v>
      </c>
      <c r="D143" t="s">
        <v>7</v>
      </c>
      <c r="E143">
        <v>5</v>
      </c>
      <c r="F143">
        <v>24947</v>
      </c>
      <c r="G143">
        <f t="shared" si="2"/>
        <v>124735</v>
      </c>
      <c r="H143" t="s">
        <v>74</v>
      </c>
      <c r="I143" s="14" t="s">
        <v>65</v>
      </c>
      <c r="J143" s="1">
        <v>3.3</v>
      </c>
      <c r="K143" s="8" t="s">
        <v>670</v>
      </c>
      <c r="L143" s="8">
        <v>2026</v>
      </c>
    </row>
    <row r="144" spans="1:12">
      <c r="A144" t="s">
        <v>260</v>
      </c>
      <c r="B144" t="s">
        <v>261</v>
      </c>
      <c r="C144" t="s">
        <v>52</v>
      </c>
      <c r="D144" t="s">
        <v>11</v>
      </c>
      <c r="E144">
        <v>4</v>
      </c>
      <c r="F144">
        <v>12790</v>
      </c>
      <c r="G144">
        <f t="shared" si="2"/>
        <v>51160</v>
      </c>
      <c r="H144" t="s">
        <v>46</v>
      </c>
      <c r="I144" s="14" t="s">
        <v>40</v>
      </c>
      <c r="J144" s="1">
        <v>4.4000000000000004</v>
      </c>
      <c r="K144" s="8" t="s">
        <v>670</v>
      </c>
      <c r="L144" s="8">
        <v>2026</v>
      </c>
    </row>
    <row r="145" spans="1:12">
      <c r="A145" t="s">
        <v>262</v>
      </c>
      <c r="B145" t="s">
        <v>32</v>
      </c>
      <c r="C145" t="s">
        <v>52</v>
      </c>
      <c r="D145" t="s">
        <v>11</v>
      </c>
      <c r="E145">
        <v>3</v>
      </c>
      <c r="F145">
        <v>32850</v>
      </c>
      <c r="G145">
        <f t="shared" si="2"/>
        <v>98550</v>
      </c>
      <c r="H145" t="s">
        <v>49</v>
      </c>
      <c r="I145" s="14" t="s">
        <v>30</v>
      </c>
      <c r="J145" s="1">
        <v>3.4</v>
      </c>
      <c r="K145" s="8" t="s">
        <v>654</v>
      </c>
      <c r="L145" s="8">
        <v>2026</v>
      </c>
    </row>
    <row r="146" spans="1:12">
      <c r="A146" t="s">
        <v>263</v>
      </c>
      <c r="B146" t="s">
        <v>264</v>
      </c>
      <c r="C146" t="s">
        <v>10</v>
      </c>
      <c r="D146" t="s">
        <v>11</v>
      </c>
      <c r="E146">
        <v>5</v>
      </c>
      <c r="F146">
        <v>45465</v>
      </c>
      <c r="G146">
        <f t="shared" si="2"/>
        <v>227325</v>
      </c>
      <c r="H146" t="s">
        <v>64</v>
      </c>
      <c r="I146" s="14" t="s">
        <v>40</v>
      </c>
      <c r="J146" s="1">
        <v>3.9</v>
      </c>
      <c r="K146" s="8" t="s">
        <v>668</v>
      </c>
      <c r="L146" s="8">
        <v>2026</v>
      </c>
    </row>
    <row r="147" spans="1:12">
      <c r="A147" t="s">
        <v>265</v>
      </c>
      <c r="B147" t="s">
        <v>237</v>
      </c>
      <c r="C147" t="s">
        <v>10</v>
      </c>
      <c r="D147" t="s">
        <v>11</v>
      </c>
      <c r="E147">
        <v>1</v>
      </c>
      <c r="F147">
        <v>3693</v>
      </c>
      <c r="G147">
        <f t="shared" si="2"/>
        <v>3693</v>
      </c>
      <c r="H147" t="s">
        <v>9</v>
      </c>
      <c r="I147" s="14" t="s">
        <v>8</v>
      </c>
      <c r="J147" s="1">
        <v>4.5</v>
      </c>
      <c r="K147" s="8" t="s">
        <v>669</v>
      </c>
      <c r="L147" s="8">
        <v>2026</v>
      </c>
    </row>
    <row r="148" spans="1:12">
      <c r="A148" t="s">
        <v>266</v>
      </c>
      <c r="B148" t="s">
        <v>267</v>
      </c>
      <c r="C148" t="s">
        <v>105</v>
      </c>
      <c r="D148" t="s">
        <v>106</v>
      </c>
      <c r="E148">
        <v>3</v>
      </c>
      <c r="F148">
        <v>25476</v>
      </c>
      <c r="G148">
        <f t="shared" si="2"/>
        <v>76428</v>
      </c>
      <c r="H148" t="s">
        <v>9</v>
      </c>
      <c r="I148" s="14" t="s">
        <v>8</v>
      </c>
      <c r="J148" s="1">
        <v>3.4</v>
      </c>
      <c r="K148" s="8" t="s">
        <v>670</v>
      </c>
      <c r="L148" s="8">
        <v>2026</v>
      </c>
    </row>
    <row r="149" spans="1:12">
      <c r="A149" t="s">
        <v>268</v>
      </c>
      <c r="B149" t="s">
        <v>42</v>
      </c>
      <c r="C149" t="s">
        <v>16</v>
      </c>
      <c r="D149" t="s">
        <v>14</v>
      </c>
      <c r="E149">
        <v>3</v>
      </c>
      <c r="F149">
        <v>26710</v>
      </c>
      <c r="G149">
        <f t="shared" si="2"/>
        <v>80130</v>
      </c>
      <c r="H149" t="s">
        <v>74</v>
      </c>
      <c r="I149" s="14" t="s">
        <v>43</v>
      </c>
      <c r="J149" s="1">
        <v>3.1</v>
      </c>
      <c r="K149" s="8" t="s">
        <v>671</v>
      </c>
      <c r="L149" s="8">
        <v>2026</v>
      </c>
    </row>
    <row r="150" spans="1:12">
      <c r="A150" t="s">
        <v>269</v>
      </c>
      <c r="B150" t="s">
        <v>170</v>
      </c>
      <c r="C150" t="s">
        <v>16</v>
      </c>
      <c r="D150" t="s">
        <v>14</v>
      </c>
      <c r="E150">
        <v>1</v>
      </c>
      <c r="F150">
        <v>10366</v>
      </c>
      <c r="G150">
        <f t="shared" si="2"/>
        <v>10366</v>
      </c>
      <c r="H150" t="s">
        <v>64</v>
      </c>
      <c r="I150" s="14" t="s">
        <v>30</v>
      </c>
      <c r="J150" s="1">
        <v>4.5999999999999996</v>
      </c>
      <c r="K150" s="8" t="s">
        <v>671</v>
      </c>
      <c r="L150" s="8">
        <v>2026</v>
      </c>
    </row>
    <row r="151" spans="1:12">
      <c r="A151" t="s">
        <v>270</v>
      </c>
      <c r="B151" t="s">
        <v>45</v>
      </c>
      <c r="C151" t="s">
        <v>55</v>
      </c>
      <c r="D151" t="s">
        <v>56</v>
      </c>
      <c r="E151">
        <v>5</v>
      </c>
      <c r="F151">
        <v>12842</v>
      </c>
      <c r="G151">
        <f t="shared" si="2"/>
        <v>64210</v>
      </c>
      <c r="H151" t="s">
        <v>64</v>
      </c>
      <c r="I151" s="14" t="s">
        <v>8</v>
      </c>
      <c r="J151" s="1">
        <v>3.8</v>
      </c>
      <c r="K151" s="8" t="s">
        <v>654</v>
      </c>
      <c r="L151" s="8">
        <v>2026</v>
      </c>
    </row>
    <row r="152" spans="1:12">
      <c r="A152" t="s">
        <v>271</v>
      </c>
      <c r="B152" t="s">
        <v>91</v>
      </c>
      <c r="C152" t="s">
        <v>52</v>
      </c>
      <c r="D152" t="s">
        <v>11</v>
      </c>
      <c r="E152">
        <v>5</v>
      </c>
      <c r="F152">
        <v>28267</v>
      </c>
      <c r="G152">
        <f t="shared" si="2"/>
        <v>141335</v>
      </c>
      <c r="H152" t="s">
        <v>27</v>
      </c>
      <c r="I152" s="14" t="s">
        <v>65</v>
      </c>
      <c r="J152" s="1">
        <v>4.8</v>
      </c>
      <c r="K152" s="8" t="s">
        <v>668</v>
      </c>
      <c r="L152" s="8">
        <v>2026</v>
      </c>
    </row>
    <row r="153" spans="1:12">
      <c r="A153" t="s">
        <v>272</v>
      </c>
      <c r="B153" t="s">
        <v>273</v>
      </c>
      <c r="C153" t="s">
        <v>13</v>
      </c>
      <c r="D153" t="s">
        <v>14</v>
      </c>
      <c r="E153">
        <v>5</v>
      </c>
      <c r="F153">
        <v>37424</v>
      </c>
      <c r="G153">
        <f t="shared" si="2"/>
        <v>187120</v>
      </c>
      <c r="H153" t="s">
        <v>9</v>
      </c>
      <c r="I153" s="14" t="s">
        <v>30</v>
      </c>
      <c r="J153" s="1">
        <v>4.0999999999999996</v>
      </c>
      <c r="K153" s="8" t="s">
        <v>654</v>
      </c>
      <c r="L153" s="8">
        <v>2026</v>
      </c>
    </row>
    <row r="154" spans="1:12">
      <c r="A154" t="s">
        <v>274</v>
      </c>
      <c r="B154" t="s">
        <v>67</v>
      </c>
      <c r="C154" t="s">
        <v>16</v>
      </c>
      <c r="D154" t="s">
        <v>14</v>
      </c>
      <c r="E154">
        <v>4</v>
      </c>
      <c r="F154">
        <v>30382</v>
      </c>
      <c r="G154">
        <f t="shared" si="2"/>
        <v>121528</v>
      </c>
      <c r="H154" t="s">
        <v>9</v>
      </c>
      <c r="I154" s="14" t="s">
        <v>8</v>
      </c>
      <c r="J154" s="1">
        <v>3.1</v>
      </c>
      <c r="K154" s="8" t="s">
        <v>654</v>
      </c>
      <c r="L154" s="8">
        <v>2026</v>
      </c>
    </row>
    <row r="155" spans="1:12">
      <c r="A155" t="s">
        <v>275</v>
      </c>
      <c r="B155" t="s">
        <v>84</v>
      </c>
      <c r="C155" t="s">
        <v>10</v>
      </c>
      <c r="D155" t="s">
        <v>11</v>
      </c>
      <c r="E155">
        <v>1</v>
      </c>
      <c r="F155">
        <v>11357</v>
      </c>
      <c r="G155">
        <f t="shared" si="2"/>
        <v>11357</v>
      </c>
      <c r="H155" t="s">
        <v>27</v>
      </c>
      <c r="I155" s="14" t="s">
        <v>43</v>
      </c>
      <c r="J155" s="1">
        <v>4.9000000000000004</v>
      </c>
      <c r="K155" s="8" t="s">
        <v>667</v>
      </c>
      <c r="L155" s="8">
        <v>2026</v>
      </c>
    </row>
    <row r="156" spans="1:12">
      <c r="A156" t="s">
        <v>276</v>
      </c>
      <c r="B156" t="s">
        <v>219</v>
      </c>
      <c r="C156" t="s">
        <v>55</v>
      </c>
      <c r="D156" t="s">
        <v>56</v>
      </c>
      <c r="E156">
        <v>5</v>
      </c>
      <c r="F156">
        <v>44894</v>
      </c>
      <c r="G156">
        <f t="shared" si="2"/>
        <v>224470</v>
      </c>
      <c r="H156" t="s">
        <v>9</v>
      </c>
      <c r="I156" s="14" t="s">
        <v>43</v>
      </c>
      <c r="J156" s="1">
        <v>3.2</v>
      </c>
      <c r="K156" s="8" t="s">
        <v>663</v>
      </c>
      <c r="L156" s="8">
        <v>2026</v>
      </c>
    </row>
    <row r="157" spans="1:12">
      <c r="A157" t="s">
        <v>277</v>
      </c>
      <c r="B157" t="s">
        <v>71</v>
      </c>
      <c r="C157" t="s">
        <v>10</v>
      </c>
      <c r="D157" t="s">
        <v>11</v>
      </c>
      <c r="E157">
        <v>4</v>
      </c>
      <c r="F157">
        <v>23378</v>
      </c>
      <c r="G157">
        <f t="shared" si="2"/>
        <v>93512</v>
      </c>
      <c r="H157" t="s">
        <v>35</v>
      </c>
      <c r="I157" s="14" t="s">
        <v>30</v>
      </c>
      <c r="J157" s="1">
        <v>3.4</v>
      </c>
      <c r="K157" s="8" t="s">
        <v>673</v>
      </c>
      <c r="L157" s="8">
        <v>2026</v>
      </c>
    </row>
    <row r="158" spans="1:12">
      <c r="A158" t="s">
        <v>278</v>
      </c>
      <c r="B158" t="s">
        <v>213</v>
      </c>
      <c r="C158" t="s">
        <v>13</v>
      </c>
      <c r="D158" t="s">
        <v>14</v>
      </c>
      <c r="E158">
        <v>3</v>
      </c>
      <c r="F158">
        <v>21470</v>
      </c>
      <c r="G158">
        <f t="shared" si="2"/>
        <v>64410</v>
      </c>
      <c r="H158" t="s">
        <v>74</v>
      </c>
      <c r="I158" s="14" t="s">
        <v>40</v>
      </c>
      <c r="J158" s="1">
        <v>3.4</v>
      </c>
      <c r="K158" s="8" t="s">
        <v>673</v>
      </c>
      <c r="L158" s="8">
        <v>2026</v>
      </c>
    </row>
    <row r="159" spans="1:12">
      <c r="A159" t="s">
        <v>279</v>
      </c>
      <c r="B159" t="s">
        <v>210</v>
      </c>
      <c r="C159" t="s">
        <v>6</v>
      </c>
      <c r="D159" t="s">
        <v>7</v>
      </c>
      <c r="E159">
        <v>1</v>
      </c>
      <c r="F159">
        <v>38690</v>
      </c>
      <c r="G159">
        <f t="shared" si="2"/>
        <v>38690</v>
      </c>
      <c r="H159" t="s">
        <v>46</v>
      </c>
      <c r="I159" s="14" t="s">
        <v>8</v>
      </c>
      <c r="J159" s="1">
        <v>3.6</v>
      </c>
      <c r="K159" s="8" t="s">
        <v>667</v>
      </c>
      <c r="L159" s="8">
        <v>2026</v>
      </c>
    </row>
    <row r="160" spans="1:12">
      <c r="A160" t="s">
        <v>280</v>
      </c>
      <c r="B160" t="s">
        <v>104</v>
      </c>
      <c r="C160" t="s">
        <v>59</v>
      </c>
      <c r="D160" t="s">
        <v>7</v>
      </c>
      <c r="E160">
        <v>3</v>
      </c>
      <c r="F160">
        <v>35794</v>
      </c>
      <c r="G160">
        <f t="shared" si="2"/>
        <v>107382</v>
      </c>
      <c r="H160" t="s">
        <v>35</v>
      </c>
      <c r="I160" s="14" t="s">
        <v>30</v>
      </c>
      <c r="J160" s="1">
        <v>4.4000000000000004</v>
      </c>
      <c r="K160" s="8" t="s">
        <v>674</v>
      </c>
      <c r="L160" s="8">
        <v>2026</v>
      </c>
    </row>
    <row r="161" spans="1:12">
      <c r="A161" t="s">
        <v>281</v>
      </c>
      <c r="B161" t="s">
        <v>210</v>
      </c>
      <c r="C161" t="s">
        <v>26</v>
      </c>
      <c r="D161" t="s">
        <v>7</v>
      </c>
      <c r="E161">
        <v>4</v>
      </c>
      <c r="F161">
        <v>2214</v>
      </c>
      <c r="G161">
        <f t="shared" si="2"/>
        <v>8856</v>
      </c>
      <c r="H161" t="s">
        <v>9</v>
      </c>
      <c r="I161" s="14" t="s">
        <v>43</v>
      </c>
      <c r="J161" s="1">
        <v>3.2</v>
      </c>
      <c r="K161" s="8" t="s">
        <v>673</v>
      </c>
      <c r="L161" s="8">
        <v>2026</v>
      </c>
    </row>
    <row r="162" spans="1:12">
      <c r="A162" t="s">
        <v>282</v>
      </c>
      <c r="B162" t="s">
        <v>283</v>
      </c>
      <c r="C162" t="s">
        <v>79</v>
      </c>
      <c r="D162" t="s">
        <v>80</v>
      </c>
      <c r="E162">
        <v>1</v>
      </c>
      <c r="F162">
        <v>11817</v>
      </c>
      <c r="G162">
        <f t="shared" si="2"/>
        <v>11817</v>
      </c>
      <c r="H162" t="s">
        <v>27</v>
      </c>
      <c r="I162" s="14" t="s">
        <v>43</v>
      </c>
      <c r="J162" s="1">
        <v>3.2</v>
      </c>
      <c r="K162" s="8" t="s">
        <v>675</v>
      </c>
      <c r="L162" s="8">
        <v>2026</v>
      </c>
    </row>
    <row r="163" spans="1:12">
      <c r="A163" t="s">
        <v>284</v>
      </c>
      <c r="B163" t="s">
        <v>285</v>
      </c>
      <c r="C163" t="s">
        <v>13</v>
      </c>
      <c r="D163" t="s">
        <v>14</v>
      </c>
      <c r="E163">
        <v>1</v>
      </c>
      <c r="F163">
        <v>5848</v>
      </c>
      <c r="G163">
        <f t="shared" si="2"/>
        <v>5848</v>
      </c>
      <c r="H163" t="s">
        <v>27</v>
      </c>
      <c r="I163" s="14" t="s">
        <v>40</v>
      </c>
      <c r="J163" s="1">
        <v>4</v>
      </c>
      <c r="K163" s="8" t="s">
        <v>663</v>
      </c>
      <c r="L163" s="8">
        <v>2026</v>
      </c>
    </row>
    <row r="164" spans="1:12">
      <c r="A164" t="s">
        <v>286</v>
      </c>
      <c r="B164" t="s">
        <v>167</v>
      </c>
      <c r="C164" t="s">
        <v>26</v>
      </c>
      <c r="D164" t="s">
        <v>7</v>
      </c>
      <c r="E164">
        <v>1</v>
      </c>
      <c r="F164">
        <v>44117</v>
      </c>
      <c r="G164">
        <f t="shared" si="2"/>
        <v>44117</v>
      </c>
      <c r="H164" t="s">
        <v>9</v>
      </c>
      <c r="I164" s="14" t="s">
        <v>40</v>
      </c>
      <c r="J164" s="1">
        <v>3</v>
      </c>
      <c r="K164" s="8" t="s">
        <v>675</v>
      </c>
      <c r="L164" s="8">
        <v>2026</v>
      </c>
    </row>
    <row r="165" spans="1:12">
      <c r="A165" t="s">
        <v>287</v>
      </c>
      <c r="B165" t="s">
        <v>114</v>
      </c>
      <c r="C165" t="s">
        <v>6</v>
      </c>
      <c r="D165" t="s">
        <v>7</v>
      </c>
      <c r="E165">
        <v>2</v>
      </c>
      <c r="F165">
        <v>6367</v>
      </c>
      <c r="G165">
        <f t="shared" si="2"/>
        <v>12734</v>
      </c>
      <c r="H165" t="s">
        <v>64</v>
      </c>
      <c r="I165" s="14" t="s">
        <v>30</v>
      </c>
      <c r="J165" s="1">
        <v>3.3</v>
      </c>
      <c r="K165" s="8" t="s">
        <v>668</v>
      </c>
      <c r="L165" s="8">
        <v>2026</v>
      </c>
    </row>
    <row r="166" spans="1:12">
      <c r="A166" t="s">
        <v>288</v>
      </c>
      <c r="B166" t="s">
        <v>102</v>
      </c>
      <c r="C166" t="s">
        <v>105</v>
      </c>
      <c r="D166" t="s">
        <v>106</v>
      </c>
      <c r="E166">
        <v>5</v>
      </c>
      <c r="F166">
        <v>41666</v>
      </c>
      <c r="G166">
        <f t="shared" si="2"/>
        <v>208330</v>
      </c>
      <c r="H166" t="s">
        <v>9</v>
      </c>
      <c r="I166" s="14" t="s">
        <v>8</v>
      </c>
      <c r="J166" s="1">
        <v>4.7</v>
      </c>
      <c r="K166" s="8" t="s">
        <v>668</v>
      </c>
      <c r="L166" s="8">
        <v>2026</v>
      </c>
    </row>
    <row r="167" spans="1:12">
      <c r="A167" t="s">
        <v>289</v>
      </c>
      <c r="B167" t="s">
        <v>290</v>
      </c>
      <c r="C167" t="s">
        <v>12</v>
      </c>
      <c r="D167" t="s">
        <v>7</v>
      </c>
      <c r="E167">
        <v>2</v>
      </c>
      <c r="F167">
        <v>29899</v>
      </c>
      <c r="G167">
        <f t="shared" si="2"/>
        <v>59798</v>
      </c>
      <c r="H167" t="s">
        <v>35</v>
      </c>
      <c r="I167" s="14" t="s">
        <v>65</v>
      </c>
      <c r="J167" s="1">
        <v>3.2</v>
      </c>
      <c r="K167" s="8" t="s">
        <v>672</v>
      </c>
      <c r="L167" s="8">
        <v>2026</v>
      </c>
    </row>
    <row r="168" spans="1:12">
      <c r="A168" t="s">
        <v>291</v>
      </c>
      <c r="B168" t="s">
        <v>51</v>
      </c>
      <c r="C168" t="s">
        <v>59</v>
      </c>
      <c r="D168" t="s">
        <v>7</v>
      </c>
      <c r="E168">
        <v>2</v>
      </c>
      <c r="F168">
        <v>2785</v>
      </c>
      <c r="G168">
        <f t="shared" si="2"/>
        <v>5570</v>
      </c>
      <c r="H168" t="s">
        <v>74</v>
      </c>
      <c r="I168" s="14" t="s">
        <v>65</v>
      </c>
      <c r="J168" s="1">
        <v>3.8</v>
      </c>
      <c r="K168" s="8" t="s">
        <v>673</v>
      </c>
      <c r="L168" s="8">
        <v>2026</v>
      </c>
    </row>
    <row r="169" spans="1:12">
      <c r="A169" t="s">
        <v>292</v>
      </c>
      <c r="B169" t="s">
        <v>293</v>
      </c>
      <c r="C169" t="s">
        <v>52</v>
      </c>
      <c r="D169" t="s">
        <v>11</v>
      </c>
      <c r="E169">
        <v>4</v>
      </c>
      <c r="F169">
        <v>42113</v>
      </c>
      <c r="G169">
        <f t="shared" si="2"/>
        <v>168452</v>
      </c>
      <c r="H169" t="s">
        <v>49</v>
      </c>
      <c r="I169" s="14" t="s">
        <v>40</v>
      </c>
      <c r="J169" s="1">
        <v>3.6</v>
      </c>
      <c r="K169" s="8" t="s">
        <v>674</v>
      </c>
      <c r="L169" s="8">
        <v>2026</v>
      </c>
    </row>
    <row r="170" spans="1:12">
      <c r="A170" t="s">
        <v>294</v>
      </c>
      <c r="B170" t="s">
        <v>295</v>
      </c>
      <c r="C170" t="s">
        <v>26</v>
      </c>
      <c r="D170" t="s">
        <v>7</v>
      </c>
      <c r="E170">
        <v>4</v>
      </c>
      <c r="F170">
        <v>1740</v>
      </c>
      <c r="G170">
        <f t="shared" si="2"/>
        <v>6960</v>
      </c>
      <c r="H170" t="s">
        <v>9</v>
      </c>
      <c r="I170" s="14" t="s">
        <v>8</v>
      </c>
      <c r="J170" s="1">
        <v>4.5</v>
      </c>
      <c r="K170" s="8" t="s">
        <v>668</v>
      </c>
      <c r="L170" s="8">
        <v>2026</v>
      </c>
    </row>
    <row r="171" spans="1:12">
      <c r="A171" t="s">
        <v>296</v>
      </c>
      <c r="B171" t="s">
        <v>261</v>
      </c>
      <c r="C171" t="s">
        <v>6</v>
      </c>
      <c r="D171" t="s">
        <v>7</v>
      </c>
      <c r="E171">
        <v>1</v>
      </c>
      <c r="F171">
        <v>41097</v>
      </c>
      <c r="G171">
        <f t="shared" si="2"/>
        <v>41097</v>
      </c>
      <c r="H171" t="s">
        <v>49</v>
      </c>
      <c r="I171" s="14" t="s">
        <v>65</v>
      </c>
      <c r="J171" s="1">
        <v>3.6</v>
      </c>
      <c r="K171" s="8" t="s">
        <v>669</v>
      </c>
      <c r="L171" s="8">
        <v>2026</v>
      </c>
    </row>
    <row r="172" spans="1:12">
      <c r="A172" t="s">
        <v>297</v>
      </c>
      <c r="B172" t="s">
        <v>298</v>
      </c>
      <c r="C172" t="s">
        <v>59</v>
      </c>
      <c r="D172" t="s">
        <v>7</v>
      </c>
      <c r="E172">
        <v>1</v>
      </c>
      <c r="F172">
        <v>3170</v>
      </c>
      <c r="G172">
        <f t="shared" si="2"/>
        <v>3170</v>
      </c>
      <c r="H172" t="s">
        <v>64</v>
      </c>
      <c r="I172" s="14" t="s">
        <v>43</v>
      </c>
      <c r="J172" s="1">
        <v>3.4</v>
      </c>
      <c r="K172" s="8" t="s">
        <v>670</v>
      </c>
      <c r="L172" s="8">
        <v>2026</v>
      </c>
    </row>
    <row r="173" spans="1:12">
      <c r="A173" t="s">
        <v>299</v>
      </c>
      <c r="B173" t="s">
        <v>300</v>
      </c>
      <c r="C173" t="s">
        <v>10</v>
      </c>
      <c r="D173" t="s">
        <v>11</v>
      </c>
      <c r="E173">
        <v>2</v>
      </c>
      <c r="F173">
        <v>48764</v>
      </c>
      <c r="G173">
        <f t="shared" si="2"/>
        <v>97528</v>
      </c>
      <c r="H173" t="s">
        <v>35</v>
      </c>
      <c r="I173" s="14" t="s">
        <v>30</v>
      </c>
      <c r="J173" s="1">
        <v>4.3</v>
      </c>
      <c r="K173" s="8" t="s">
        <v>670</v>
      </c>
      <c r="L173" s="8">
        <v>2026</v>
      </c>
    </row>
    <row r="174" spans="1:12">
      <c r="A174" t="s">
        <v>301</v>
      </c>
      <c r="B174" t="s">
        <v>155</v>
      </c>
      <c r="C174" t="s">
        <v>59</v>
      </c>
      <c r="D174" t="s">
        <v>7</v>
      </c>
      <c r="E174">
        <v>4</v>
      </c>
      <c r="F174">
        <v>39735</v>
      </c>
      <c r="G174">
        <f t="shared" si="2"/>
        <v>158940</v>
      </c>
      <c r="H174" t="s">
        <v>27</v>
      </c>
      <c r="I174" s="14" t="s">
        <v>65</v>
      </c>
      <c r="J174" s="1">
        <v>4.3</v>
      </c>
      <c r="K174" s="8" t="s">
        <v>676</v>
      </c>
      <c r="L174" s="8">
        <v>2026</v>
      </c>
    </row>
    <row r="175" spans="1:12">
      <c r="A175" t="s">
        <v>302</v>
      </c>
      <c r="B175" t="s">
        <v>137</v>
      </c>
      <c r="C175" t="s">
        <v>79</v>
      </c>
      <c r="D175" t="s">
        <v>80</v>
      </c>
      <c r="E175">
        <v>4</v>
      </c>
      <c r="F175">
        <v>16399</v>
      </c>
      <c r="G175">
        <f t="shared" si="2"/>
        <v>65596</v>
      </c>
      <c r="H175" t="s">
        <v>74</v>
      </c>
      <c r="I175" s="14" t="s">
        <v>8</v>
      </c>
      <c r="J175" s="1">
        <v>4.5</v>
      </c>
      <c r="K175" s="8" t="s">
        <v>670</v>
      </c>
      <c r="L175" s="8">
        <v>2026</v>
      </c>
    </row>
    <row r="176" spans="1:12">
      <c r="A176" t="s">
        <v>303</v>
      </c>
      <c r="B176" t="s">
        <v>108</v>
      </c>
      <c r="C176" t="s">
        <v>79</v>
      </c>
      <c r="D176" t="s">
        <v>80</v>
      </c>
      <c r="E176">
        <v>3</v>
      </c>
      <c r="F176">
        <v>37990</v>
      </c>
      <c r="G176">
        <f t="shared" si="2"/>
        <v>113970</v>
      </c>
      <c r="H176" t="s">
        <v>64</v>
      </c>
      <c r="I176" s="14" t="s">
        <v>30</v>
      </c>
      <c r="J176" s="1">
        <v>4</v>
      </c>
      <c r="K176" s="8" t="s">
        <v>673</v>
      </c>
      <c r="L176" s="8">
        <v>2026</v>
      </c>
    </row>
    <row r="177" spans="1:12">
      <c r="A177" t="s">
        <v>304</v>
      </c>
      <c r="B177" t="s">
        <v>305</v>
      </c>
      <c r="C177" t="s">
        <v>13</v>
      </c>
      <c r="D177" t="s">
        <v>14</v>
      </c>
      <c r="E177">
        <v>3</v>
      </c>
      <c r="F177">
        <v>20917</v>
      </c>
      <c r="G177">
        <f t="shared" si="2"/>
        <v>62751</v>
      </c>
      <c r="H177" t="s">
        <v>35</v>
      </c>
      <c r="I177" s="14" t="s">
        <v>40</v>
      </c>
      <c r="J177" s="1">
        <v>3.7</v>
      </c>
      <c r="K177" t="s">
        <v>673</v>
      </c>
      <c r="L177" s="8">
        <v>2026</v>
      </c>
    </row>
    <row r="178" spans="1:12">
      <c r="A178" t="s">
        <v>306</v>
      </c>
      <c r="B178" t="s">
        <v>228</v>
      </c>
      <c r="C178" t="s">
        <v>12</v>
      </c>
      <c r="D178" t="s">
        <v>7</v>
      </c>
      <c r="E178">
        <v>4</v>
      </c>
      <c r="F178">
        <v>18775</v>
      </c>
      <c r="G178">
        <f t="shared" si="2"/>
        <v>75100</v>
      </c>
      <c r="H178" t="s">
        <v>49</v>
      </c>
      <c r="I178" s="14" t="s">
        <v>65</v>
      </c>
      <c r="J178" s="1">
        <v>4.5</v>
      </c>
      <c r="K178" t="s">
        <v>675</v>
      </c>
      <c r="L178" s="8">
        <v>2026</v>
      </c>
    </row>
    <row r="179" spans="1:12">
      <c r="A179" t="s">
        <v>307</v>
      </c>
      <c r="B179" t="s">
        <v>219</v>
      </c>
      <c r="C179" t="s">
        <v>15</v>
      </c>
      <c r="D179" t="s">
        <v>7</v>
      </c>
      <c r="E179">
        <v>4</v>
      </c>
      <c r="F179">
        <v>38072</v>
      </c>
      <c r="G179">
        <f t="shared" si="2"/>
        <v>152288</v>
      </c>
      <c r="H179" t="s">
        <v>27</v>
      </c>
      <c r="I179" s="14" t="s">
        <v>30</v>
      </c>
      <c r="J179" s="1">
        <v>3.9</v>
      </c>
      <c r="K179" t="s">
        <v>663</v>
      </c>
      <c r="L179" s="8">
        <v>2026</v>
      </c>
    </row>
    <row r="180" spans="1:12">
      <c r="A180" t="s">
        <v>308</v>
      </c>
      <c r="B180" t="s">
        <v>309</v>
      </c>
      <c r="C180" t="s">
        <v>105</v>
      </c>
      <c r="D180" t="s">
        <v>106</v>
      </c>
      <c r="E180">
        <v>2</v>
      </c>
      <c r="F180">
        <v>16837</v>
      </c>
      <c r="G180">
        <f t="shared" si="2"/>
        <v>33674</v>
      </c>
      <c r="H180" t="s">
        <v>49</v>
      </c>
      <c r="I180" s="14" t="s">
        <v>40</v>
      </c>
      <c r="J180" s="1">
        <v>3.8</v>
      </c>
      <c r="K180" t="s">
        <v>675</v>
      </c>
      <c r="L180" s="8">
        <v>2026</v>
      </c>
    </row>
    <row r="181" spans="1:12">
      <c r="A181" t="s">
        <v>310</v>
      </c>
      <c r="B181" t="s">
        <v>175</v>
      </c>
      <c r="C181" t="s">
        <v>12</v>
      </c>
      <c r="D181" t="s">
        <v>7</v>
      </c>
      <c r="E181">
        <v>5</v>
      </c>
      <c r="F181">
        <v>29355</v>
      </c>
      <c r="G181">
        <f t="shared" si="2"/>
        <v>146775</v>
      </c>
      <c r="H181" t="s">
        <v>27</v>
      </c>
      <c r="I181" s="14" t="s">
        <v>43</v>
      </c>
      <c r="J181" s="1">
        <v>4.3</v>
      </c>
      <c r="K181" t="s">
        <v>670</v>
      </c>
      <c r="L181" s="8">
        <v>2026</v>
      </c>
    </row>
    <row r="182" spans="1:12">
      <c r="A182" t="s">
        <v>311</v>
      </c>
      <c r="B182" t="s">
        <v>293</v>
      </c>
      <c r="C182" t="s">
        <v>13</v>
      </c>
      <c r="D182" t="s">
        <v>14</v>
      </c>
      <c r="E182">
        <v>1</v>
      </c>
      <c r="F182">
        <v>45235</v>
      </c>
      <c r="G182">
        <f t="shared" si="2"/>
        <v>45235</v>
      </c>
      <c r="H182" t="s">
        <v>35</v>
      </c>
      <c r="I182" s="14" t="s">
        <v>43</v>
      </c>
      <c r="J182" s="1">
        <v>3</v>
      </c>
      <c r="K182" t="s">
        <v>671</v>
      </c>
      <c r="L182" s="8">
        <v>2026</v>
      </c>
    </row>
    <row r="183" spans="1:12">
      <c r="A183" t="s">
        <v>312</v>
      </c>
      <c r="B183" t="s">
        <v>178</v>
      </c>
      <c r="C183" t="s">
        <v>105</v>
      </c>
      <c r="D183" t="s">
        <v>106</v>
      </c>
      <c r="E183">
        <v>2</v>
      </c>
      <c r="F183">
        <v>42111</v>
      </c>
      <c r="G183">
        <f t="shared" si="2"/>
        <v>84222</v>
      </c>
      <c r="H183" t="s">
        <v>27</v>
      </c>
      <c r="I183" s="14" t="s">
        <v>8</v>
      </c>
      <c r="J183" s="1">
        <v>5</v>
      </c>
      <c r="K183" t="s">
        <v>669</v>
      </c>
      <c r="L183" s="8">
        <v>2026</v>
      </c>
    </row>
    <row r="184" spans="1:12">
      <c r="A184" t="s">
        <v>313</v>
      </c>
      <c r="B184" t="s">
        <v>219</v>
      </c>
      <c r="C184" t="s">
        <v>55</v>
      </c>
      <c r="D184" t="s">
        <v>56</v>
      </c>
      <c r="E184">
        <v>4</v>
      </c>
      <c r="F184">
        <v>18362</v>
      </c>
      <c r="G184">
        <f t="shared" si="2"/>
        <v>73448</v>
      </c>
      <c r="H184" t="s">
        <v>46</v>
      </c>
      <c r="I184" s="14" t="s">
        <v>65</v>
      </c>
      <c r="J184" s="1">
        <v>3.1</v>
      </c>
      <c r="K184" t="s">
        <v>654</v>
      </c>
      <c r="L184" s="8">
        <v>2026</v>
      </c>
    </row>
    <row r="185" spans="1:12">
      <c r="A185" t="s">
        <v>314</v>
      </c>
      <c r="B185" t="s">
        <v>223</v>
      </c>
      <c r="C185" t="s">
        <v>59</v>
      </c>
      <c r="D185" t="s">
        <v>7</v>
      </c>
      <c r="E185">
        <v>2</v>
      </c>
      <c r="F185">
        <v>44807</v>
      </c>
      <c r="G185">
        <f t="shared" si="2"/>
        <v>89614</v>
      </c>
      <c r="H185" t="s">
        <v>9</v>
      </c>
      <c r="I185" s="14" t="s">
        <v>30</v>
      </c>
      <c r="J185" s="1">
        <v>4.0999999999999996</v>
      </c>
      <c r="K185" t="s">
        <v>668</v>
      </c>
      <c r="L185" s="8">
        <v>2026</v>
      </c>
    </row>
    <row r="186" spans="1:12">
      <c r="A186" t="s">
        <v>315</v>
      </c>
      <c r="B186" t="s">
        <v>58</v>
      </c>
      <c r="C186" t="s">
        <v>26</v>
      </c>
      <c r="D186" t="s">
        <v>7</v>
      </c>
      <c r="E186">
        <v>3</v>
      </c>
      <c r="F186">
        <v>659</v>
      </c>
      <c r="G186">
        <f t="shared" si="2"/>
        <v>1977</v>
      </c>
      <c r="H186" t="s">
        <v>64</v>
      </c>
      <c r="I186" s="14" t="s">
        <v>65</v>
      </c>
      <c r="J186" s="1">
        <v>4</v>
      </c>
      <c r="K186" t="s">
        <v>668</v>
      </c>
      <c r="L186" s="8">
        <v>2026</v>
      </c>
    </row>
    <row r="187" spans="1:12">
      <c r="A187" t="s">
        <v>316</v>
      </c>
      <c r="B187" t="s">
        <v>130</v>
      </c>
      <c r="C187" t="s">
        <v>59</v>
      </c>
      <c r="D187" t="s">
        <v>7</v>
      </c>
      <c r="E187">
        <v>1</v>
      </c>
      <c r="F187">
        <v>31761</v>
      </c>
      <c r="G187">
        <f t="shared" si="2"/>
        <v>31761</v>
      </c>
      <c r="H187" t="s">
        <v>74</v>
      </c>
      <c r="I187" s="14" t="s">
        <v>40</v>
      </c>
      <c r="J187" s="1">
        <v>4.3</v>
      </c>
      <c r="K187" t="s">
        <v>670</v>
      </c>
      <c r="L187" s="8">
        <v>2026</v>
      </c>
    </row>
    <row r="188" spans="1:12">
      <c r="A188" t="s">
        <v>317</v>
      </c>
      <c r="B188" t="s">
        <v>178</v>
      </c>
      <c r="C188" t="s">
        <v>16</v>
      </c>
      <c r="D188" t="s">
        <v>14</v>
      </c>
      <c r="E188">
        <v>2</v>
      </c>
      <c r="F188">
        <v>41256</v>
      </c>
      <c r="G188">
        <f t="shared" si="2"/>
        <v>82512</v>
      </c>
      <c r="H188" t="s">
        <v>74</v>
      </c>
      <c r="I188" s="14" t="s">
        <v>65</v>
      </c>
      <c r="J188" s="1">
        <v>4.9000000000000004</v>
      </c>
      <c r="K188" t="s">
        <v>670</v>
      </c>
      <c r="L188" s="8">
        <v>2026</v>
      </c>
    </row>
    <row r="189" spans="1:12">
      <c r="A189" t="s">
        <v>318</v>
      </c>
      <c r="B189" t="s">
        <v>309</v>
      </c>
      <c r="C189" t="s">
        <v>6</v>
      </c>
      <c r="D189" t="s">
        <v>7</v>
      </c>
      <c r="E189">
        <v>5</v>
      </c>
      <c r="F189">
        <v>2812</v>
      </c>
      <c r="G189">
        <f t="shared" si="2"/>
        <v>14060</v>
      </c>
      <c r="H189" t="s">
        <v>46</v>
      </c>
      <c r="I189" s="14" t="s">
        <v>8</v>
      </c>
      <c r="J189" s="1">
        <v>3.2</v>
      </c>
      <c r="K189" t="s">
        <v>669</v>
      </c>
      <c r="L189" s="8">
        <v>2026</v>
      </c>
    </row>
    <row r="190" spans="1:12">
      <c r="A190" t="s">
        <v>319</v>
      </c>
      <c r="B190" t="s">
        <v>320</v>
      </c>
      <c r="C190" t="s">
        <v>52</v>
      </c>
      <c r="D190" t="s">
        <v>11</v>
      </c>
      <c r="E190">
        <v>5</v>
      </c>
      <c r="F190">
        <v>46395</v>
      </c>
      <c r="G190">
        <f t="shared" si="2"/>
        <v>231975</v>
      </c>
      <c r="H190" t="s">
        <v>35</v>
      </c>
      <c r="I190" s="14" t="s">
        <v>8</v>
      </c>
      <c r="J190" s="1">
        <v>4.9000000000000004</v>
      </c>
      <c r="K190" t="s">
        <v>672</v>
      </c>
      <c r="L190" s="8">
        <v>2026</v>
      </c>
    </row>
    <row r="191" spans="1:12">
      <c r="A191" t="s">
        <v>321</v>
      </c>
      <c r="B191" t="s">
        <v>290</v>
      </c>
      <c r="C191" t="s">
        <v>13</v>
      </c>
      <c r="D191" t="s">
        <v>14</v>
      </c>
      <c r="E191">
        <v>2</v>
      </c>
      <c r="F191">
        <v>7078</v>
      </c>
      <c r="G191">
        <f t="shared" si="2"/>
        <v>14156</v>
      </c>
      <c r="H191" t="s">
        <v>9</v>
      </c>
      <c r="I191" s="14" t="s">
        <v>65</v>
      </c>
      <c r="J191" s="1">
        <v>3.2</v>
      </c>
      <c r="K191" t="s">
        <v>668</v>
      </c>
      <c r="L191" s="8">
        <v>2026</v>
      </c>
    </row>
    <row r="192" spans="1:12">
      <c r="A192" t="s">
        <v>322</v>
      </c>
      <c r="B192" t="s">
        <v>290</v>
      </c>
      <c r="C192" t="s">
        <v>6</v>
      </c>
      <c r="D192" t="s">
        <v>7</v>
      </c>
      <c r="E192">
        <v>2</v>
      </c>
      <c r="F192">
        <v>46323</v>
      </c>
      <c r="G192">
        <f t="shared" si="2"/>
        <v>92646</v>
      </c>
      <c r="H192" t="s">
        <v>46</v>
      </c>
      <c r="I192" s="14" t="s">
        <v>40</v>
      </c>
      <c r="J192" s="1">
        <v>3.5</v>
      </c>
      <c r="K192" t="s">
        <v>670</v>
      </c>
      <c r="L192" s="8">
        <v>2026</v>
      </c>
    </row>
    <row r="193" spans="1:12">
      <c r="A193" t="s">
        <v>323</v>
      </c>
      <c r="B193" t="s">
        <v>132</v>
      </c>
      <c r="C193" t="s">
        <v>55</v>
      </c>
      <c r="D193" t="s">
        <v>56</v>
      </c>
      <c r="E193">
        <v>2</v>
      </c>
      <c r="F193">
        <v>48456</v>
      </c>
      <c r="G193">
        <f t="shared" si="2"/>
        <v>96912</v>
      </c>
      <c r="H193" t="s">
        <v>74</v>
      </c>
      <c r="I193" s="14" t="s">
        <v>30</v>
      </c>
      <c r="J193" s="1">
        <v>4.2</v>
      </c>
      <c r="K193" t="s">
        <v>654</v>
      </c>
      <c r="L193" s="8">
        <v>2026</v>
      </c>
    </row>
    <row r="194" spans="1:12">
      <c r="A194" t="s">
        <v>324</v>
      </c>
      <c r="B194" t="s">
        <v>228</v>
      </c>
      <c r="C194" t="s">
        <v>79</v>
      </c>
      <c r="D194" t="s">
        <v>80</v>
      </c>
      <c r="E194">
        <v>1</v>
      </c>
      <c r="F194">
        <v>49234</v>
      </c>
      <c r="G194">
        <f t="shared" si="2"/>
        <v>49234</v>
      </c>
      <c r="H194" t="s">
        <v>74</v>
      </c>
      <c r="I194" s="14" t="s">
        <v>8</v>
      </c>
      <c r="J194" s="1">
        <v>4.0999999999999996</v>
      </c>
      <c r="K194" t="s">
        <v>672</v>
      </c>
      <c r="L194" s="8">
        <v>2026</v>
      </c>
    </row>
    <row r="195" spans="1:12">
      <c r="A195" t="s">
        <v>325</v>
      </c>
      <c r="B195" t="s">
        <v>86</v>
      </c>
      <c r="C195" t="s">
        <v>12</v>
      </c>
      <c r="D195" t="s">
        <v>7</v>
      </c>
      <c r="E195">
        <v>3</v>
      </c>
      <c r="F195">
        <v>22866</v>
      </c>
      <c r="G195">
        <f t="shared" ref="G195:G258" si="3">SUM(F195*E195)</f>
        <v>68598</v>
      </c>
      <c r="H195" t="s">
        <v>35</v>
      </c>
      <c r="I195" s="14" t="s">
        <v>40</v>
      </c>
      <c r="J195" s="1">
        <v>4</v>
      </c>
      <c r="K195" t="s">
        <v>668</v>
      </c>
      <c r="L195" s="8">
        <v>2026</v>
      </c>
    </row>
    <row r="196" spans="1:12">
      <c r="A196" t="s">
        <v>326</v>
      </c>
      <c r="B196" t="s">
        <v>126</v>
      </c>
      <c r="C196" t="s">
        <v>10</v>
      </c>
      <c r="D196" t="s">
        <v>11</v>
      </c>
      <c r="E196">
        <v>4</v>
      </c>
      <c r="F196">
        <v>37798</v>
      </c>
      <c r="G196">
        <f t="shared" si="3"/>
        <v>151192</v>
      </c>
      <c r="H196" t="s">
        <v>46</v>
      </c>
      <c r="I196" s="14" t="s">
        <v>30</v>
      </c>
      <c r="J196" s="1">
        <v>4</v>
      </c>
      <c r="K196" t="s">
        <v>671</v>
      </c>
      <c r="L196" s="8">
        <v>2026</v>
      </c>
    </row>
    <row r="197" spans="1:12">
      <c r="A197" t="s">
        <v>327</v>
      </c>
      <c r="B197" t="s">
        <v>82</v>
      </c>
      <c r="C197" t="s">
        <v>52</v>
      </c>
      <c r="D197" t="s">
        <v>11</v>
      </c>
      <c r="E197">
        <v>4</v>
      </c>
      <c r="F197">
        <v>40801</v>
      </c>
      <c r="G197">
        <f t="shared" si="3"/>
        <v>163204</v>
      </c>
      <c r="H197" t="s">
        <v>74</v>
      </c>
      <c r="I197" s="14" t="s">
        <v>30</v>
      </c>
      <c r="J197" s="1">
        <v>3.2</v>
      </c>
      <c r="K197" t="s">
        <v>671</v>
      </c>
      <c r="L197" s="8">
        <v>2026</v>
      </c>
    </row>
    <row r="198" spans="1:12">
      <c r="A198" t="s">
        <v>328</v>
      </c>
      <c r="B198" t="s">
        <v>290</v>
      </c>
      <c r="C198" t="s">
        <v>6</v>
      </c>
      <c r="D198" t="s">
        <v>7</v>
      </c>
      <c r="E198">
        <v>5</v>
      </c>
      <c r="F198">
        <v>9208</v>
      </c>
      <c r="G198">
        <f t="shared" si="3"/>
        <v>46040</v>
      </c>
      <c r="H198" t="s">
        <v>35</v>
      </c>
      <c r="I198" s="14" t="s">
        <v>40</v>
      </c>
      <c r="J198" s="1">
        <v>4.5</v>
      </c>
      <c r="K198" t="s">
        <v>670</v>
      </c>
      <c r="L198" s="8">
        <v>2026</v>
      </c>
    </row>
    <row r="199" spans="1:12">
      <c r="A199" t="s">
        <v>329</v>
      </c>
      <c r="B199" t="s">
        <v>54</v>
      </c>
      <c r="C199" t="s">
        <v>59</v>
      </c>
      <c r="D199" t="s">
        <v>7</v>
      </c>
      <c r="E199">
        <v>5</v>
      </c>
      <c r="F199">
        <v>5542</v>
      </c>
      <c r="G199">
        <f t="shared" si="3"/>
        <v>27710</v>
      </c>
      <c r="H199" t="s">
        <v>46</v>
      </c>
      <c r="I199" s="14" t="s">
        <v>30</v>
      </c>
      <c r="J199" s="1">
        <v>3.6</v>
      </c>
      <c r="K199" t="s">
        <v>654</v>
      </c>
      <c r="L199" s="8">
        <v>2026</v>
      </c>
    </row>
    <row r="200" spans="1:12">
      <c r="A200" t="s">
        <v>330</v>
      </c>
      <c r="B200" t="s">
        <v>213</v>
      </c>
      <c r="C200" t="s">
        <v>10</v>
      </c>
      <c r="D200" t="s">
        <v>11</v>
      </c>
      <c r="E200">
        <v>4</v>
      </c>
      <c r="F200">
        <v>36432</v>
      </c>
      <c r="G200">
        <f t="shared" si="3"/>
        <v>145728</v>
      </c>
      <c r="H200" t="s">
        <v>27</v>
      </c>
      <c r="I200" s="14" t="s">
        <v>40</v>
      </c>
      <c r="J200" s="1">
        <v>3.6</v>
      </c>
      <c r="K200" t="s">
        <v>654</v>
      </c>
      <c r="L200" s="8">
        <v>2026</v>
      </c>
    </row>
    <row r="201" spans="1:12">
      <c r="A201" t="s">
        <v>331</v>
      </c>
      <c r="B201" t="s">
        <v>89</v>
      </c>
      <c r="C201" t="s">
        <v>59</v>
      </c>
      <c r="D201" t="s">
        <v>7</v>
      </c>
      <c r="E201">
        <v>4</v>
      </c>
      <c r="F201">
        <v>28598</v>
      </c>
      <c r="G201">
        <f t="shared" si="3"/>
        <v>114392</v>
      </c>
      <c r="H201" t="s">
        <v>27</v>
      </c>
      <c r="I201" s="14" t="s">
        <v>65</v>
      </c>
      <c r="J201" s="1">
        <v>3.5</v>
      </c>
      <c r="K201" t="s">
        <v>671</v>
      </c>
      <c r="L201" s="8">
        <v>2026</v>
      </c>
    </row>
    <row r="202" spans="1:12">
      <c r="A202" t="s">
        <v>332</v>
      </c>
      <c r="B202" t="s">
        <v>190</v>
      </c>
      <c r="C202" t="s">
        <v>55</v>
      </c>
      <c r="D202" t="s">
        <v>56</v>
      </c>
      <c r="E202">
        <v>3</v>
      </c>
      <c r="F202">
        <v>2255</v>
      </c>
      <c r="G202">
        <f t="shared" si="3"/>
        <v>6765</v>
      </c>
      <c r="H202" t="s">
        <v>9</v>
      </c>
      <c r="I202" s="14" t="s">
        <v>40</v>
      </c>
      <c r="J202" s="1">
        <v>3.3</v>
      </c>
      <c r="K202" t="s">
        <v>669</v>
      </c>
      <c r="L202" s="8">
        <v>2026</v>
      </c>
    </row>
    <row r="203" spans="1:12">
      <c r="A203" t="s">
        <v>333</v>
      </c>
      <c r="B203" t="s">
        <v>69</v>
      </c>
      <c r="C203" t="s">
        <v>55</v>
      </c>
      <c r="D203" t="s">
        <v>56</v>
      </c>
      <c r="E203">
        <v>4</v>
      </c>
      <c r="F203">
        <v>17685</v>
      </c>
      <c r="G203">
        <f t="shared" si="3"/>
        <v>70740</v>
      </c>
      <c r="H203" t="s">
        <v>64</v>
      </c>
      <c r="I203" s="14" t="s">
        <v>30</v>
      </c>
      <c r="J203" s="1">
        <v>4.2</v>
      </c>
      <c r="K203" t="s">
        <v>669</v>
      </c>
      <c r="L203" s="8">
        <v>2026</v>
      </c>
    </row>
    <row r="204" spans="1:12">
      <c r="A204" t="s">
        <v>334</v>
      </c>
      <c r="B204" t="s">
        <v>119</v>
      </c>
      <c r="C204" t="s">
        <v>79</v>
      </c>
      <c r="D204" t="s">
        <v>80</v>
      </c>
      <c r="E204">
        <v>4</v>
      </c>
      <c r="F204">
        <v>25206</v>
      </c>
      <c r="G204">
        <f t="shared" si="3"/>
        <v>100824</v>
      </c>
      <c r="H204" t="s">
        <v>46</v>
      </c>
      <c r="I204" s="14" t="s">
        <v>30</v>
      </c>
      <c r="J204" s="1">
        <v>3.9</v>
      </c>
      <c r="K204" t="s">
        <v>669</v>
      </c>
      <c r="L204" s="8">
        <v>2026</v>
      </c>
    </row>
    <row r="205" spans="1:12">
      <c r="A205" t="s">
        <v>335</v>
      </c>
      <c r="B205" t="s">
        <v>237</v>
      </c>
      <c r="C205" t="s">
        <v>12</v>
      </c>
      <c r="D205" t="s">
        <v>7</v>
      </c>
      <c r="E205">
        <v>5</v>
      </c>
      <c r="F205">
        <v>44776</v>
      </c>
      <c r="G205">
        <f t="shared" si="3"/>
        <v>223880</v>
      </c>
      <c r="H205" t="s">
        <v>9</v>
      </c>
      <c r="I205" s="14" t="s">
        <v>43</v>
      </c>
      <c r="J205" s="1">
        <v>4.2</v>
      </c>
      <c r="K205" t="s">
        <v>671</v>
      </c>
      <c r="L205" s="8">
        <v>2026</v>
      </c>
    </row>
    <row r="206" spans="1:12">
      <c r="A206" t="s">
        <v>336</v>
      </c>
      <c r="B206" t="s">
        <v>190</v>
      </c>
      <c r="C206" t="s">
        <v>10</v>
      </c>
      <c r="D206" t="s">
        <v>11</v>
      </c>
      <c r="E206">
        <v>3</v>
      </c>
      <c r="F206">
        <v>39868</v>
      </c>
      <c r="G206">
        <f t="shared" si="3"/>
        <v>119604</v>
      </c>
      <c r="H206" t="s">
        <v>27</v>
      </c>
      <c r="I206" s="14" t="s">
        <v>40</v>
      </c>
      <c r="J206" s="1">
        <v>3.9</v>
      </c>
      <c r="K206" t="s">
        <v>671</v>
      </c>
      <c r="L206" s="8">
        <v>2026</v>
      </c>
    </row>
    <row r="207" spans="1:12">
      <c r="A207" t="s">
        <v>337</v>
      </c>
      <c r="B207" t="s">
        <v>157</v>
      </c>
      <c r="C207" t="s">
        <v>105</v>
      </c>
      <c r="D207" t="s">
        <v>106</v>
      </c>
      <c r="E207">
        <v>4</v>
      </c>
      <c r="F207">
        <v>21267</v>
      </c>
      <c r="G207">
        <f t="shared" si="3"/>
        <v>85068</v>
      </c>
      <c r="H207" t="s">
        <v>74</v>
      </c>
      <c r="I207" s="14" t="s">
        <v>65</v>
      </c>
      <c r="J207" s="1">
        <v>3.3</v>
      </c>
      <c r="K207" t="s">
        <v>672</v>
      </c>
      <c r="L207" s="8">
        <v>2026</v>
      </c>
    </row>
    <row r="208" spans="1:12">
      <c r="A208" t="s">
        <v>338</v>
      </c>
      <c r="B208" t="s">
        <v>61</v>
      </c>
      <c r="C208" t="s">
        <v>12</v>
      </c>
      <c r="D208" t="s">
        <v>7</v>
      </c>
      <c r="E208">
        <v>5</v>
      </c>
      <c r="F208">
        <v>31059</v>
      </c>
      <c r="G208">
        <f t="shared" si="3"/>
        <v>155295</v>
      </c>
      <c r="H208" t="s">
        <v>9</v>
      </c>
      <c r="I208" s="14" t="s">
        <v>43</v>
      </c>
      <c r="J208" s="1">
        <v>4.5</v>
      </c>
      <c r="K208" t="s">
        <v>668</v>
      </c>
      <c r="L208" s="8">
        <v>2026</v>
      </c>
    </row>
    <row r="209" spans="1:12">
      <c r="A209" t="s">
        <v>339</v>
      </c>
      <c r="B209" t="s">
        <v>73</v>
      </c>
      <c r="C209" t="s">
        <v>59</v>
      </c>
      <c r="D209" t="s">
        <v>7</v>
      </c>
      <c r="E209">
        <v>4</v>
      </c>
      <c r="F209">
        <v>44334</v>
      </c>
      <c r="G209">
        <f t="shared" si="3"/>
        <v>177336</v>
      </c>
      <c r="H209" t="s">
        <v>27</v>
      </c>
      <c r="I209" s="14" t="s">
        <v>65</v>
      </c>
      <c r="J209" s="1">
        <v>3.6</v>
      </c>
      <c r="K209" t="s">
        <v>654</v>
      </c>
      <c r="L209" s="8">
        <v>2026</v>
      </c>
    </row>
    <row r="210" spans="1:12">
      <c r="A210" t="s">
        <v>340</v>
      </c>
      <c r="B210" t="s">
        <v>76</v>
      </c>
      <c r="C210" t="s">
        <v>15</v>
      </c>
      <c r="D210" t="s">
        <v>7</v>
      </c>
      <c r="E210">
        <v>4</v>
      </c>
      <c r="F210">
        <v>7138</v>
      </c>
      <c r="G210">
        <f t="shared" si="3"/>
        <v>28552</v>
      </c>
      <c r="H210" t="s">
        <v>49</v>
      </c>
      <c r="I210" s="14" t="s">
        <v>40</v>
      </c>
      <c r="J210" s="1">
        <v>4.2</v>
      </c>
      <c r="K210" t="s">
        <v>668</v>
      </c>
      <c r="L210" s="8">
        <v>2026</v>
      </c>
    </row>
    <row r="211" spans="1:12">
      <c r="A211" t="s">
        <v>341</v>
      </c>
      <c r="B211" t="s">
        <v>157</v>
      </c>
      <c r="C211" t="s">
        <v>6</v>
      </c>
      <c r="D211" t="s">
        <v>7</v>
      </c>
      <c r="E211">
        <v>2</v>
      </c>
      <c r="F211">
        <v>30628</v>
      </c>
      <c r="G211">
        <f t="shared" si="3"/>
        <v>61256</v>
      </c>
      <c r="H211" t="s">
        <v>46</v>
      </c>
      <c r="I211" s="14" t="s">
        <v>40</v>
      </c>
      <c r="J211" s="1">
        <v>4.9000000000000004</v>
      </c>
      <c r="K211" t="s">
        <v>669</v>
      </c>
      <c r="L211" s="8">
        <v>2026</v>
      </c>
    </row>
    <row r="212" spans="1:12">
      <c r="A212" t="s">
        <v>342</v>
      </c>
      <c r="B212" t="s">
        <v>182</v>
      </c>
      <c r="C212" t="s">
        <v>6</v>
      </c>
      <c r="D212" t="s">
        <v>7</v>
      </c>
      <c r="E212">
        <v>4</v>
      </c>
      <c r="F212">
        <v>33080</v>
      </c>
      <c r="G212">
        <f t="shared" si="3"/>
        <v>132320</v>
      </c>
      <c r="H212" t="s">
        <v>64</v>
      </c>
      <c r="I212" s="14" t="s">
        <v>65</v>
      </c>
      <c r="J212" s="1">
        <v>3.7</v>
      </c>
      <c r="K212" t="s">
        <v>671</v>
      </c>
      <c r="L212" s="8">
        <v>2026</v>
      </c>
    </row>
    <row r="213" spans="1:12">
      <c r="A213" t="s">
        <v>343</v>
      </c>
      <c r="B213" t="s">
        <v>128</v>
      </c>
      <c r="C213" t="s">
        <v>6</v>
      </c>
      <c r="D213" t="s">
        <v>7</v>
      </c>
      <c r="E213">
        <v>4</v>
      </c>
      <c r="F213">
        <v>14437</v>
      </c>
      <c r="G213">
        <f t="shared" si="3"/>
        <v>57748</v>
      </c>
      <c r="H213" t="s">
        <v>35</v>
      </c>
      <c r="I213" s="14" t="s">
        <v>43</v>
      </c>
      <c r="J213" s="1">
        <v>3.4</v>
      </c>
      <c r="K213" t="s">
        <v>654</v>
      </c>
      <c r="L213" s="8">
        <v>2026</v>
      </c>
    </row>
    <row r="214" spans="1:12">
      <c r="A214" t="s">
        <v>344</v>
      </c>
      <c r="B214" t="s">
        <v>264</v>
      </c>
      <c r="C214" t="s">
        <v>59</v>
      </c>
      <c r="D214" t="s">
        <v>7</v>
      </c>
      <c r="E214">
        <v>5</v>
      </c>
      <c r="F214">
        <v>41937</v>
      </c>
      <c r="G214">
        <f t="shared" si="3"/>
        <v>209685</v>
      </c>
      <c r="H214" t="s">
        <v>74</v>
      </c>
      <c r="I214" s="14" t="s">
        <v>40</v>
      </c>
      <c r="J214" s="1">
        <v>4.5</v>
      </c>
      <c r="K214" t="s">
        <v>668</v>
      </c>
      <c r="L214" s="8">
        <v>2026</v>
      </c>
    </row>
    <row r="215" spans="1:12">
      <c r="A215" t="s">
        <v>345</v>
      </c>
      <c r="B215" t="s">
        <v>346</v>
      </c>
      <c r="C215" t="s">
        <v>12</v>
      </c>
      <c r="D215" t="s">
        <v>7</v>
      </c>
      <c r="E215">
        <v>2</v>
      </c>
      <c r="F215">
        <v>25538</v>
      </c>
      <c r="G215">
        <f t="shared" si="3"/>
        <v>51076</v>
      </c>
      <c r="H215" t="s">
        <v>49</v>
      </c>
      <c r="I215" s="14" t="s">
        <v>65</v>
      </c>
      <c r="J215" s="1">
        <v>3.8</v>
      </c>
      <c r="K215" t="s">
        <v>654</v>
      </c>
      <c r="L215" s="8">
        <v>2026</v>
      </c>
    </row>
    <row r="216" spans="1:12">
      <c r="A216" t="s">
        <v>347</v>
      </c>
      <c r="B216" t="s">
        <v>348</v>
      </c>
      <c r="C216" t="s">
        <v>105</v>
      </c>
      <c r="D216" t="s">
        <v>106</v>
      </c>
      <c r="E216">
        <v>4</v>
      </c>
      <c r="F216">
        <v>47712</v>
      </c>
      <c r="G216">
        <f t="shared" si="3"/>
        <v>190848</v>
      </c>
      <c r="H216" t="s">
        <v>46</v>
      </c>
      <c r="I216" s="14" t="s">
        <v>65</v>
      </c>
      <c r="J216" s="1">
        <v>3.5</v>
      </c>
      <c r="K216" t="s">
        <v>668</v>
      </c>
      <c r="L216" s="8">
        <v>2026</v>
      </c>
    </row>
    <row r="217" spans="1:12">
      <c r="A217" t="s">
        <v>349</v>
      </c>
      <c r="B217" t="s">
        <v>150</v>
      </c>
      <c r="C217" t="s">
        <v>13</v>
      </c>
      <c r="D217" t="s">
        <v>14</v>
      </c>
      <c r="E217">
        <v>1</v>
      </c>
      <c r="F217">
        <v>9273</v>
      </c>
      <c r="G217">
        <f t="shared" si="3"/>
        <v>9273</v>
      </c>
      <c r="H217" t="s">
        <v>35</v>
      </c>
      <c r="I217" s="14" t="s">
        <v>30</v>
      </c>
      <c r="J217" s="1">
        <v>3.1</v>
      </c>
      <c r="K217" s="8" t="s">
        <v>667</v>
      </c>
      <c r="L217" s="8">
        <v>2026</v>
      </c>
    </row>
    <row r="218" spans="1:12">
      <c r="A218" t="s">
        <v>350</v>
      </c>
      <c r="B218" t="s">
        <v>248</v>
      </c>
      <c r="C218" t="s">
        <v>59</v>
      </c>
      <c r="D218" t="s">
        <v>7</v>
      </c>
      <c r="E218">
        <v>2</v>
      </c>
      <c r="F218">
        <v>13427</v>
      </c>
      <c r="G218">
        <f t="shared" si="3"/>
        <v>26854</v>
      </c>
      <c r="H218" t="s">
        <v>35</v>
      </c>
      <c r="I218" s="14" t="s">
        <v>40</v>
      </c>
      <c r="J218" s="1">
        <v>3.8</v>
      </c>
      <c r="K218" s="8" t="s">
        <v>675</v>
      </c>
      <c r="L218" s="8">
        <v>2026</v>
      </c>
    </row>
    <row r="219" spans="1:12">
      <c r="A219" t="s">
        <v>351</v>
      </c>
      <c r="B219" t="s">
        <v>86</v>
      </c>
      <c r="C219" t="s">
        <v>12</v>
      </c>
      <c r="D219" t="s">
        <v>7</v>
      </c>
      <c r="E219">
        <v>4</v>
      </c>
      <c r="F219">
        <v>2790</v>
      </c>
      <c r="G219">
        <f t="shared" si="3"/>
        <v>11160</v>
      </c>
      <c r="H219" t="s">
        <v>46</v>
      </c>
      <c r="I219" s="14" t="s">
        <v>8</v>
      </c>
      <c r="J219" s="1">
        <v>3.2</v>
      </c>
      <c r="K219" s="8" t="s">
        <v>663</v>
      </c>
      <c r="L219" s="8">
        <v>2026</v>
      </c>
    </row>
    <row r="220" spans="1:12">
      <c r="A220" t="s">
        <v>352</v>
      </c>
      <c r="B220" t="s">
        <v>353</v>
      </c>
      <c r="C220" t="s">
        <v>16</v>
      </c>
      <c r="D220" t="s">
        <v>14</v>
      </c>
      <c r="E220">
        <v>1</v>
      </c>
      <c r="F220">
        <v>28748</v>
      </c>
      <c r="G220">
        <f t="shared" si="3"/>
        <v>28748</v>
      </c>
      <c r="H220" t="s">
        <v>27</v>
      </c>
      <c r="I220" s="14" t="s">
        <v>8</v>
      </c>
      <c r="J220" s="1">
        <v>4.5</v>
      </c>
      <c r="K220" s="8" t="s">
        <v>674</v>
      </c>
      <c r="L220" s="8">
        <v>2026</v>
      </c>
    </row>
    <row r="221" spans="1:12">
      <c r="A221" t="s">
        <v>354</v>
      </c>
      <c r="B221" t="s">
        <v>86</v>
      </c>
      <c r="C221" t="s">
        <v>6</v>
      </c>
      <c r="D221" t="s">
        <v>7</v>
      </c>
      <c r="E221">
        <v>5</v>
      </c>
      <c r="F221">
        <v>31589</v>
      </c>
      <c r="G221">
        <f t="shared" si="3"/>
        <v>157945</v>
      </c>
      <c r="H221" t="s">
        <v>49</v>
      </c>
      <c r="I221" s="14" t="s">
        <v>65</v>
      </c>
      <c r="J221" s="1">
        <v>3.8</v>
      </c>
      <c r="K221" s="8" t="s">
        <v>673</v>
      </c>
      <c r="L221" s="8">
        <v>2026</v>
      </c>
    </row>
    <row r="222" spans="1:12">
      <c r="A222" t="s">
        <v>355</v>
      </c>
      <c r="B222" t="s">
        <v>190</v>
      </c>
      <c r="C222" t="s">
        <v>59</v>
      </c>
      <c r="D222" t="s">
        <v>7</v>
      </c>
      <c r="E222">
        <v>3</v>
      </c>
      <c r="F222">
        <v>19088</v>
      </c>
      <c r="G222">
        <f t="shared" si="3"/>
        <v>57264</v>
      </c>
      <c r="H222" t="s">
        <v>27</v>
      </c>
      <c r="I222" s="14" t="s">
        <v>43</v>
      </c>
      <c r="J222" s="1">
        <v>3.9</v>
      </c>
      <c r="K222" s="8" t="s">
        <v>663</v>
      </c>
      <c r="L222" s="8">
        <v>2026</v>
      </c>
    </row>
    <row r="223" spans="1:12">
      <c r="A223" t="s">
        <v>356</v>
      </c>
      <c r="B223" t="s">
        <v>298</v>
      </c>
      <c r="C223" t="s">
        <v>6</v>
      </c>
      <c r="D223" t="s">
        <v>7</v>
      </c>
      <c r="E223">
        <v>5</v>
      </c>
      <c r="F223">
        <v>47946</v>
      </c>
      <c r="G223">
        <f t="shared" si="3"/>
        <v>239730</v>
      </c>
      <c r="H223" t="s">
        <v>49</v>
      </c>
      <c r="I223" s="14" t="s">
        <v>43</v>
      </c>
      <c r="J223" s="1">
        <v>3.7</v>
      </c>
      <c r="K223" s="8" t="s">
        <v>673</v>
      </c>
      <c r="L223" s="8">
        <v>2026</v>
      </c>
    </row>
    <row r="224" spans="1:12">
      <c r="A224" t="s">
        <v>357</v>
      </c>
      <c r="B224" t="s">
        <v>283</v>
      </c>
      <c r="C224" t="s">
        <v>52</v>
      </c>
      <c r="D224" t="s">
        <v>11</v>
      </c>
      <c r="E224">
        <v>2</v>
      </c>
      <c r="F224">
        <v>29058</v>
      </c>
      <c r="G224">
        <f t="shared" si="3"/>
        <v>58116</v>
      </c>
      <c r="H224" t="s">
        <v>64</v>
      </c>
      <c r="I224" s="14" t="s">
        <v>30</v>
      </c>
      <c r="J224" s="1">
        <v>4.8</v>
      </c>
      <c r="K224" s="8" t="s">
        <v>673</v>
      </c>
      <c r="L224" s="8">
        <v>2026</v>
      </c>
    </row>
    <row r="225" spans="1:12">
      <c r="A225" t="s">
        <v>358</v>
      </c>
      <c r="B225" t="s">
        <v>69</v>
      </c>
      <c r="C225" t="s">
        <v>12</v>
      </c>
      <c r="D225" t="s">
        <v>7</v>
      </c>
      <c r="E225">
        <v>3</v>
      </c>
      <c r="F225">
        <v>32644</v>
      </c>
      <c r="G225">
        <f t="shared" si="3"/>
        <v>97932</v>
      </c>
      <c r="H225" t="s">
        <v>9</v>
      </c>
      <c r="I225" s="14" t="s">
        <v>43</v>
      </c>
      <c r="J225" s="1">
        <v>3.6</v>
      </c>
      <c r="K225" s="8" t="s">
        <v>674</v>
      </c>
      <c r="L225" s="8">
        <v>2026</v>
      </c>
    </row>
    <row r="226" spans="1:12">
      <c r="A226" t="s">
        <v>359</v>
      </c>
      <c r="B226" t="s">
        <v>348</v>
      </c>
      <c r="C226" t="s">
        <v>26</v>
      </c>
      <c r="D226" t="s">
        <v>7</v>
      </c>
      <c r="E226">
        <v>3</v>
      </c>
      <c r="F226">
        <v>10202</v>
      </c>
      <c r="G226">
        <f t="shared" si="3"/>
        <v>30606</v>
      </c>
      <c r="H226" t="s">
        <v>49</v>
      </c>
      <c r="I226" s="14" t="s">
        <v>65</v>
      </c>
      <c r="J226" s="1">
        <v>3.4</v>
      </c>
      <c r="K226" s="8" t="s">
        <v>673</v>
      </c>
      <c r="L226" s="8">
        <v>2026</v>
      </c>
    </row>
    <row r="227" spans="1:12">
      <c r="A227" t="s">
        <v>360</v>
      </c>
      <c r="B227" t="s">
        <v>82</v>
      </c>
      <c r="C227" t="s">
        <v>55</v>
      </c>
      <c r="D227" t="s">
        <v>56</v>
      </c>
      <c r="E227">
        <v>4</v>
      </c>
      <c r="F227">
        <v>32036</v>
      </c>
      <c r="G227">
        <f t="shared" si="3"/>
        <v>128144</v>
      </c>
      <c r="H227" t="s">
        <v>46</v>
      </c>
      <c r="I227" s="14" t="s">
        <v>30</v>
      </c>
      <c r="J227" s="1">
        <v>4.5</v>
      </c>
      <c r="K227" s="8" t="s">
        <v>675</v>
      </c>
      <c r="L227" s="8">
        <v>2026</v>
      </c>
    </row>
    <row r="228" spans="1:12">
      <c r="A228" t="s">
        <v>361</v>
      </c>
      <c r="B228" t="s">
        <v>69</v>
      </c>
      <c r="C228" t="s">
        <v>13</v>
      </c>
      <c r="D228" t="s">
        <v>14</v>
      </c>
      <c r="E228">
        <v>5</v>
      </c>
      <c r="F228">
        <v>39237</v>
      </c>
      <c r="G228">
        <f t="shared" si="3"/>
        <v>196185</v>
      </c>
      <c r="H228" t="s">
        <v>49</v>
      </c>
      <c r="I228" s="14" t="s">
        <v>65</v>
      </c>
      <c r="J228" s="1">
        <v>3.1</v>
      </c>
      <c r="K228" s="8" t="s">
        <v>675</v>
      </c>
      <c r="L228" s="8">
        <v>2026</v>
      </c>
    </row>
    <row r="229" spans="1:12">
      <c r="A229" t="s">
        <v>362</v>
      </c>
      <c r="B229" t="s">
        <v>363</v>
      </c>
      <c r="C229" t="s">
        <v>16</v>
      </c>
      <c r="D229" t="s">
        <v>14</v>
      </c>
      <c r="E229">
        <v>1</v>
      </c>
      <c r="F229">
        <v>45886</v>
      </c>
      <c r="G229">
        <f t="shared" si="3"/>
        <v>45886</v>
      </c>
      <c r="H229" t="s">
        <v>64</v>
      </c>
      <c r="I229" s="14" t="s">
        <v>40</v>
      </c>
      <c r="J229" s="1">
        <v>4.9000000000000004</v>
      </c>
      <c r="K229" s="8" t="s">
        <v>663</v>
      </c>
      <c r="L229" s="8">
        <v>2026</v>
      </c>
    </row>
    <row r="230" spans="1:12">
      <c r="A230" t="s">
        <v>364</v>
      </c>
      <c r="B230" t="s">
        <v>346</v>
      </c>
      <c r="C230" t="s">
        <v>13</v>
      </c>
      <c r="D230" t="s">
        <v>14</v>
      </c>
      <c r="E230">
        <v>3</v>
      </c>
      <c r="F230">
        <v>19520</v>
      </c>
      <c r="G230">
        <f t="shared" si="3"/>
        <v>58560</v>
      </c>
      <c r="H230" t="s">
        <v>46</v>
      </c>
      <c r="I230" s="14" t="s">
        <v>8</v>
      </c>
      <c r="J230" s="1">
        <v>4.9000000000000004</v>
      </c>
      <c r="K230" s="8" t="s">
        <v>676</v>
      </c>
      <c r="L230" s="8">
        <v>2026</v>
      </c>
    </row>
    <row r="231" spans="1:12">
      <c r="A231" t="s">
        <v>365</v>
      </c>
      <c r="B231" t="s">
        <v>73</v>
      </c>
      <c r="C231" t="s">
        <v>59</v>
      </c>
      <c r="D231" t="s">
        <v>7</v>
      </c>
      <c r="E231">
        <v>5</v>
      </c>
      <c r="F231">
        <v>12806</v>
      </c>
      <c r="G231">
        <f t="shared" si="3"/>
        <v>64030</v>
      </c>
      <c r="H231" t="s">
        <v>64</v>
      </c>
      <c r="I231" s="14" t="s">
        <v>8</v>
      </c>
      <c r="J231" s="1">
        <v>4.5</v>
      </c>
      <c r="K231" s="8" t="s">
        <v>673</v>
      </c>
      <c r="L231" s="8">
        <v>2026</v>
      </c>
    </row>
    <row r="232" spans="1:12">
      <c r="A232" t="s">
        <v>366</v>
      </c>
      <c r="B232" t="s">
        <v>300</v>
      </c>
      <c r="C232" t="s">
        <v>15</v>
      </c>
      <c r="D232" t="s">
        <v>7</v>
      </c>
      <c r="E232">
        <v>4</v>
      </c>
      <c r="F232">
        <v>14880</v>
      </c>
      <c r="G232">
        <f t="shared" si="3"/>
        <v>59520</v>
      </c>
      <c r="H232" t="s">
        <v>64</v>
      </c>
      <c r="I232" s="14" t="s">
        <v>40</v>
      </c>
      <c r="J232" s="1">
        <v>3.7</v>
      </c>
      <c r="K232" s="8" t="s">
        <v>668</v>
      </c>
      <c r="L232" s="8">
        <v>2026</v>
      </c>
    </row>
    <row r="233" spans="1:12">
      <c r="A233" t="s">
        <v>367</v>
      </c>
      <c r="B233" t="s">
        <v>175</v>
      </c>
      <c r="C233" t="s">
        <v>15</v>
      </c>
      <c r="D233" t="s">
        <v>7</v>
      </c>
      <c r="E233">
        <v>3</v>
      </c>
      <c r="F233">
        <v>43988</v>
      </c>
      <c r="G233">
        <f t="shared" si="3"/>
        <v>131964</v>
      </c>
      <c r="H233" t="s">
        <v>74</v>
      </c>
      <c r="I233" s="14" t="s">
        <v>65</v>
      </c>
      <c r="J233" s="1">
        <v>4.2</v>
      </c>
      <c r="K233" s="8" t="s">
        <v>674</v>
      </c>
      <c r="L233" s="8">
        <v>2026</v>
      </c>
    </row>
    <row r="234" spans="1:12">
      <c r="A234" t="s">
        <v>368</v>
      </c>
      <c r="B234" t="s">
        <v>144</v>
      </c>
      <c r="C234" t="s">
        <v>15</v>
      </c>
      <c r="D234" t="s">
        <v>7</v>
      </c>
      <c r="E234">
        <v>2</v>
      </c>
      <c r="F234">
        <v>32961</v>
      </c>
      <c r="G234">
        <f t="shared" si="3"/>
        <v>65922</v>
      </c>
      <c r="H234" t="s">
        <v>35</v>
      </c>
      <c r="I234" s="14" t="s">
        <v>30</v>
      </c>
      <c r="J234" s="1">
        <v>3.2</v>
      </c>
      <c r="K234" s="8" t="s">
        <v>663</v>
      </c>
      <c r="L234" s="8">
        <v>2026</v>
      </c>
    </row>
    <row r="235" spans="1:12">
      <c r="A235" t="s">
        <v>369</v>
      </c>
      <c r="B235" t="s">
        <v>213</v>
      </c>
      <c r="C235" t="s">
        <v>26</v>
      </c>
      <c r="D235" t="s">
        <v>7</v>
      </c>
      <c r="E235">
        <v>3</v>
      </c>
      <c r="F235">
        <v>36170</v>
      </c>
      <c r="G235">
        <f t="shared" si="3"/>
        <v>108510</v>
      </c>
      <c r="H235" t="s">
        <v>46</v>
      </c>
      <c r="I235" s="14" t="s">
        <v>8</v>
      </c>
      <c r="J235" s="1">
        <v>3.1</v>
      </c>
      <c r="K235" s="8" t="s">
        <v>663</v>
      </c>
      <c r="L235" s="8">
        <v>2026</v>
      </c>
    </row>
    <row r="236" spans="1:12">
      <c r="A236" t="s">
        <v>370</v>
      </c>
      <c r="B236" t="s">
        <v>104</v>
      </c>
      <c r="C236" t="s">
        <v>55</v>
      </c>
      <c r="D236" t="s">
        <v>56</v>
      </c>
      <c r="E236">
        <v>1</v>
      </c>
      <c r="F236">
        <v>30600</v>
      </c>
      <c r="G236">
        <f t="shared" si="3"/>
        <v>30600</v>
      </c>
      <c r="H236" t="s">
        <v>27</v>
      </c>
      <c r="I236" s="14" t="s">
        <v>43</v>
      </c>
      <c r="J236" s="1">
        <v>4.4000000000000004</v>
      </c>
      <c r="K236" s="8" t="s">
        <v>670</v>
      </c>
      <c r="L236" s="8">
        <v>2026</v>
      </c>
    </row>
    <row r="237" spans="1:12">
      <c r="A237" t="s">
        <v>371</v>
      </c>
      <c r="B237" t="s">
        <v>372</v>
      </c>
      <c r="C237" t="s">
        <v>15</v>
      </c>
      <c r="D237" t="s">
        <v>7</v>
      </c>
      <c r="E237">
        <v>3</v>
      </c>
      <c r="F237">
        <v>12065</v>
      </c>
      <c r="G237">
        <f t="shared" si="3"/>
        <v>36195</v>
      </c>
      <c r="H237" t="s">
        <v>46</v>
      </c>
      <c r="I237" s="14" t="s">
        <v>8</v>
      </c>
      <c r="J237" s="1">
        <v>3.8</v>
      </c>
      <c r="K237" s="8" t="s">
        <v>670</v>
      </c>
      <c r="L237" s="8">
        <v>2026</v>
      </c>
    </row>
    <row r="238" spans="1:12">
      <c r="A238" t="s">
        <v>373</v>
      </c>
      <c r="B238" t="s">
        <v>190</v>
      </c>
      <c r="C238" t="s">
        <v>52</v>
      </c>
      <c r="D238" t="s">
        <v>11</v>
      </c>
      <c r="E238">
        <v>2</v>
      </c>
      <c r="F238">
        <v>2041</v>
      </c>
      <c r="G238">
        <f t="shared" si="3"/>
        <v>4082</v>
      </c>
      <c r="H238" t="s">
        <v>74</v>
      </c>
      <c r="I238" s="14" t="s">
        <v>8</v>
      </c>
      <c r="J238" s="1">
        <v>4.7</v>
      </c>
      <c r="K238" s="8" t="s">
        <v>673</v>
      </c>
      <c r="L238" s="8">
        <v>2026</v>
      </c>
    </row>
    <row r="239" spans="1:12">
      <c r="A239" t="s">
        <v>374</v>
      </c>
      <c r="B239" t="s">
        <v>248</v>
      </c>
      <c r="C239" t="s">
        <v>105</v>
      </c>
      <c r="D239" t="s">
        <v>106</v>
      </c>
      <c r="E239">
        <v>1</v>
      </c>
      <c r="F239">
        <v>36197</v>
      </c>
      <c r="G239">
        <f t="shared" si="3"/>
        <v>36197</v>
      </c>
      <c r="H239" t="s">
        <v>49</v>
      </c>
      <c r="I239" s="14" t="s">
        <v>30</v>
      </c>
      <c r="J239" s="1">
        <v>4.4000000000000004</v>
      </c>
      <c r="K239" s="8" t="s">
        <v>670</v>
      </c>
      <c r="L239" s="8">
        <v>2026</v>
      </c>
    </row>
    <row r="240" spans="1:12">
      <c r="A240" t="s">
        <v>375</v>
      </c>
      <c r="B240" t="s">
        <v>376</v>
      </c>
      <c r="C240" t="s">
        <v>52</v>
      </c>
      <c r="D240" t="s">
        <v>11</v>
      </c>
      <c r="E240">
        <v>3</v>
      </c>
      <c r="F240">
        <v>48210</v>
      </c>
      <c r="G240">
        <f t="shared" si="3"/>
        <v>144630</v>
      </c>
      <c r="H240" t="s">
        <v>74</v>
      </c>
      <c r="I240" s="14" t="s">
        <v>30</v>
      </c>
      <c r="J240" s="1">
        <v>4.8</v>
      </c>
      <c r="K240" s="8" t="s">
        <v>673</v>
      </c>
      <c r="L240" s="8">
        <v>2026</v>
      </c>
    </row>
    <row r="241" spans="1:12">
      <c r="A241" t="s">
        <v>377</v>
      </c>
      <c r="B241" t="s">
        <v>267</v>
      </c>
      <c r="C241" t="s">
        <v>55</v>
      </c>
      <c r="D241" t="s">
        <v>56</v>
      </c>
      <c r="E241">
        <v>5</v>
      </c>
      <c r="F241">
        <v>29207</v>
      </c>
      <c r="G241">
        <f t="shared" si="3"/>
        <v>146035</v>
      </c>
      <c r="H241" t="s">
        <v>27</v>
      </c>
      <c r="I241" s="14" t="s">
        <v>40</v>
      </c>
      <c r="J241" s="1">
        <v>4.4000000000000004</v>
      </c>
      <c r="K241" s="8" t="s">
        <v>668</v>
      </c>
      <c r="L241" s="8">
        <v>2026</v>
      </c>
    </row>
    <row r="242" spans="1:12">
      <c r="A242" t="s">
        <v>378</v>
      </c>
      <c r="B242" t="s">
        <v>175</v>
      </c>
      <c r="C242" t="s">
        <v>52</v>
      </c>
      <c r="D242" t="s">
        <v>11</v>
      </c>
      <c r="E242">
        <v>2</v>
      </c>
      <c r="F242">
        <v>7128</v>
      </c>
      <c r="G242">
        <f t="shared" si="3"/>
        <v>14256</v>
      </c>
      <c r="H242" t="s">
        <v>64</v>
      </c>
      <c r="I242" s="14" t="s">
        <v>40</v>
      </c>
      <c r="J242" s="1">
        <v>4.4000000000000004</v>
      </c>
      <c r="K242" s="8" t="s">
        <v>668</v>
      </c>
      <c r="L242" s="8">
        <v>2026</v>
      </c>
    </row>
    <row r="243" spans="1:12">
      <c r="A243" t="s">
        <v>379</v>
      </c>
      <c r="B243" t="s">
        <v>114</v>
      </c>
      <c r="C243" t="s">
        <v>79</v>
      </c>
      <c r="D243" t="s">
        <v>80</v>
      </c>
      <c r="E243">
        <v>2</v>
      </c>
      <c r="F243">
        <v>48276</v>
      </c>
      <c r="G243">
        <f t="shared" si="3"/>
        <v>96552</v>
      </c>
      <c r="H243" t="s">
        <v>35</v>
      </c>
      <c r="I243" s="14" t="s">
        <v>43</v>
      </c>
      <c r="J243" s="1">
        <v>3.7</v>
      </c>
      <c r="K243" s="8" t="s">
        <v>670</v>
      </c>
      <c r="L243" s="8">
        <v>2026</v>
      </c>
    </row>
    <row r="244" spans="1:12">
      <c r="A244" t="s">
        <v>380</v>
      </c>
      <c r="B244" t="s">
        <v>98</v>
      </c>
      <c r="C244" t="s">
        <v>6</v>
      </c>
      <c r="D244" t="s">
        <v>7</v>
      </c>
      <c r="E244">
        <v>2</v>
      </c>
      <c r="F244">
        <v>46096</v>
      </c>
      <c r="G244">
        <f t="shared" si="3"/>
        <v>92192</v>
      </c>
      <c r="H244" t="s">
        <v>74</v>
      </c>
      <c r="I244" s="14" t="s">
        <v>30</v>
      </c>
      <c r="J244" s="1">
        <v>3.9</v>
      </c>
      <c r="K244" s="8" t="s">
        <v>670</v>
      </c>
      <c r="L244" s="8">
        <v>2026</v>
      </c>
    </row>
    <row r="245" spans="1:12">
      <c r="A245" t="s">
        <v>381</v>
      </c>
      <c r="B245" t="s">
        <v>95</v>
      </c>
      <c r="C245" t="s">
        <v>52</v>
      </c>
      <c r="D245" t="s">
        <v>11</v>
      </c>
      <c r="E245">
        <v>5</v>
      </c>
      <c r="F245">
        <v>14195</v>
      </c>
      <c r="G245">
        <f t="shared" si="3"/>
        <v>70975</v>
      </c>
      <c r="H245" t="s">
        <v>49</v>
      </c>
      <c r="I245" s="14" t="s">
        <v>43</v>
      </c>
      <c r="J245" s="1">
        <v>3.9</v>
      </c>
      <c r="K245" s="8" t="s">
        <v>676</v>
      </c>
      <c r="L245" s="8">
        <v>2026</v>
      </c>
    </row>
    <row r="246" spans="1:12">
      <c r="A246" t="s">
        <v>382</v>
      </c>
      <c r="B246" t="s">
        <v>213</v>
      </c>
      <c r="C246" t="s">
        <v>10</v>
      </c>
      <c r="D246" t="s">
        <v>11</v>
      </c>
      <c r="E246">
        <v>3</v>
      </c>
      <c r="F246">
        <v>387</v>
      </c>
      <c r="G246">
        <f t="shared" si="3"/>
        <v>1161</v>
      </c>
      <c r="H246" t="s">
        <v>9</v>
      </c>
      <c r="I246" s="14" t="s">
        <v>8</v>
      </c>
      <c r="J246" s="1">
        <v>3.8</v>
      </c>
      <c r="K246" s="8" t="s">
        <v>663</v>
      </c>
      <c r="L246" s="8">
        <v>2026</v>
      </c>
    </row>
    <row r="247" spans="1:12">
      <c r="A247" t="s">
        <v>383</v>
      </c>
      <c r="B247" t="s">
        <v>384</v>
      </c>
      <c r="C247" t="s">
        <v>6</v>
      </c>
      <c r="D247" t="s">
        <v>7</v>
      </c>
      <c r="E247">
        <v>2</v>
      </c>
      <c r="F247">
        <v>9560</v>
      </c>
      <c r="G247">
        <f t="shared" si="3"/>
        <v>19120</v>
      </c>
      <c r="H247" t="s">
        <v>46</v>
      </c>
      <c r="I247" s="14" t="s">
        <v>43</v>
      </c>
      <c r="J247" s="1">
        <v>3.2</v>
      </c>
      <c r="K247" s="8" t="s">
        <v>670</v>
      </c>
      <c r="L247" s="8">
        <v>2026</v>
      </c>
    </row>
    <row r="248" spans="1:12">
      <c r="A248" t="s">
        <v>385</v>
      </c>
      <c r="B248" t="s">
        <v>98</v>
      </c>
      <c r="C248" t="s">
        <v>55</v>
      </c>
      <c r="D248" t="s">
        <v>56</v>
      </c>
      <c r="E248">
        <v>3</v>
      </c>
      <c r="F248">
        <v>38090</v>
      </c>
      <c r="G248">
        <f t="shared" si="3"/>
        <v>114270</v>
      </c>
      <c r="H248" t="s">
        <v>64</v>
      </c>
      <c r="I248" s="14" t="s">
        <v>30</v>
      </c>
      <c r="J248" s="1">
        <v>3.6</v>
      </c>
      <c r="K248" s="8" t="s">
        <v>669</v>
      </c>
      <c r="L248" s="8">
        <v>2026</v>
      </c>
    </row>
    <row r="249" spans="1:12">
      <c r="A249" t="s">
        <v>386</v>
      </c>
      <c r="B249" t="s">
        <v>387</v>
      </c>
      <c r="C249" t="s">
        <v>12</v>
      </c>
      <c r="D249" t="s">
        <v>7</v>
      </c>
      <c r="E249">
        <v>5</v>
      </c>
      <c r="F249">
        <v>29285</v>
      </c>
      <c r="G249">
        <f t="shared" si="3"/>
        <v>146425</v>
      </c>
      <c r="H249" t="s">
        <v>27</v>
      </c>
      <c r="I249" s="14" t="s">
        <v>8</v>
      </c>
      <c r="J249" s="1">
        <v>4.3</v>
      </c>
      <c r="K249" s="8" t="s">
        <v>668</v>
      </c>
      <c r="L249" s="8">
        <v>2026</v>
      </c>
    </row>
    <row r="250" spans="1:12">
      <c r="A250" t="s">
        <v>388</v>
      </c>
      <c r="B250" t="s">
        <v>257</v>
      </c>
      <c r="C250" t="s">
        <v>105</v>
      </c>
      <c r="D250" t="s">
        <v>106</v>
      </c>
      <c r="E250">
        <v>3</v>
      </c>
      <c r="F250">
        <v>13008</v>
      </c>
      <c r="G250">
        <f t="shared" si="3"/>
        <v>39024</v>
      </c>
      <c r="H250" t="s">
        <v>64</v>
      </c>
      <c r="I250" s="14" t="s">
        <v>40</v>
      </c>
      <c r="J250" s="1">
        <v>4.5999999999999996</v>
      </c>
      <c r="K250" s="8" t="s">
        <v>675</v>
      </c>
      <c r="L250" s="8">
        <v>2026</v>
      </c>
    </row>
    <row r="251" spans="1:12">
      <c r="A251" t="s">
        <v>389</v>
      </c>
      <c r="B251" t="s">
        <v>144</v>
      </c>
      <c r="C251" t="s">
        <v>55</v>
      </c>
      <c r="D251" t="s">
        <v>56</v>
      </c>
      <c r="E251">
        <v>4</v>
      </c>
      <c r="F251">
        <v>16354</v>
      </c>
      <c r="G251">
        <f t="shared" si="3"/>
        <v>65416</v>
      </c>
      <c r="H251" t="s">
        <v>35</v>
      </c>
      <c r="I251" s="14" t="s">
        <v>30</v>
      </c>
      <c r="J251" s="1">
        <v>4.5999999999999996</v>
      </c>
      <c r="K251" s="8" t="s">
        <v>675</v>
      </c>
      <c r="L251" s="8">
        <v>2026</v>
      </c>
    </row>
    <row r="252" spans="1:12">
      <c r="A252" t="s">
        <v>390</v>
      </c>
      <c r="B252" t="s">
        <v>39</v>
      </c>
      <c r="C252" t="s">
        <v>59</v>
      </c>
      <c r="D252" t="s">
        <v>7</v>
      </c>
      <c r="E252">
        <v>4</v>
      </c>
      <c r="F252">
        <v>36313</v>
      </c>
      <c r="G252">
        <f t="shared" si="3"/>
        <v>145252</v>
      </c>
      <c r="H252" t="s">
        <v>49</v>
      </c>
      <c r="I252" s="14" t="s">
        <v>40</v>
      </c>
      <c r="J252" s="1">
        <v>3.9</v>
      </c>
      <c r="K252" s="8" t="s">
        <v>675</v>
      </c>
      <c r="L252" s="8">
        <v>2026</v>
      </c>
    </row>
    <row r="253" spans="1:12">
      <c r="A253" t="s">
        <v>391</v>
      </c>
      <c r="B253" t="s">
        <v>300</v>
      </c>
      <c r="C253" t="s">
        <v>15</v>
      </c>
      <c r="D253" t="s">
        <v>7</v>
      </c>
      <c r="E253">
        <v>3</v>
      </c>
      <c r="F253">
        <v>29388</v>
      </c>
      <c r="G253">
        <f t="shared" si="3"/>
        <v>88164</v>
      </c>
      <c r="H253" t="s">
        <v>46</v>
      </c>
      <c r="I253" s="14" t="s">
        <v>40</v>
      </c>
      <c r="J253" s="1">
        <v>4.2</v>
      </c>
      <c r="K253" s="8" t="s">
        <v>663</v>
      </c>
      <c r="L253" s="8">
        <v>2026</v>
      </c>
    </row>
    <row r="254" spans="1:12">
      <c r="A254" t="s">
        <v>392</v>
      </c>
      <c r="B254" t="s">
        <v>54</v>
      </c>
      <c r="C254" t="s">
        <v>15</v>
      </c>
      <c r="D254" t="s">
        <v>7</v>
      </c>
      <c r="E254">
        <v>1</v>
      </c>
      <c r="F254">
        <v>31529</v>
      </c>
      <c r="G254">
        <f t="shared" si="3"/>
        <v>31529</v>
      </c>
      <c r="H254" t="s">
        <v>74</v>
      </c>
      <c r="I254" s="14" t="s">
        <v>65</v>
      </c>
      <c r="J254" s="1">
        <v>3.2</v>
      </c>
      <c r="K254" s="8" t="s">
        <v>676</v>
      </c>
      <c r="L254" s="8">
        <v>2026</v>
      </c>
    </row>
    <row r="255" spans="1:12">
      <c r="A255" t="s">
        <v>393</v>
      </c>
      <c r="B255" t="s">
        <v>135</v>
      </c>
      <c r="C255" t="s">
        <v>15</v>
      </c>
      <c r="D255" t="s">
        <v>7</v>
      </c>
      <c r="E255">
        <v>5</v>
      </c>
      <c r="F255">
        <v>48814</v>
      </c>
      <c r="G255">
        <f t="shared" si="3"/>
        <v>244070</v>
      </c>
      <c r="H255" t="s">
        <v>64</v>
      </c>
      <c r="I255" s="14" t="s">
        <v>65</v>
      </c>
      <c r="J255" s="1">
        <v>3.1</v>
      </c>
      <c r="K255" s="8" t="s">
        <v>672</v>
      </c>
      <c r="L255" s="8">
        <v>2026</v>
      </c>
    </row>
    <row r="256" spans="1:12">
      <c r="A256" t="s">
        <v>394</v>
      </c>
      <c r="B256" t="s">
        <v>395</v>
      </c>
      <c r="C256" t="s">
        <v>15</v>
      </c>
      <c r="D256" t="s">
        <v>7</v>
      </c>
      <c r="E256">
        <v>5</v>
      </c>
      <c r="F256">
        <v>26029</v>
      </c>
      <c r="G256">
        <f t="shared" si="3"/>
        <v>130145</v>
      </c>
      <c r="H256" t="s">
        <v>9</v>
      </c>
      <c r="I256" s="14" t="s">
        <v>8</v>
      </c>
      <c r="J256" s="1">
        <v>4.3</v>
      </c>
      <c r="K256" s="8" t="s">
        <v>675</v>
      </c>
      <c r="L256" s="8">
        <v>2026</v>
      </c>
    </row>
    <row r="257" spans="1:12">
      <c r="A257" t="s">
        <v>396</v>
      </c>
      <c r="B257" t="s">
        <v>144</v>
      </c>
      <c r="C257" t="s">
        <v>13</v>
      </c>
      <c r="D257" t="s">
        <v>14</v>
      </c>
      <c r="E257">
        <v>5</v>
      </c>
      <c r="F257">
        <v>21156</v>
      </c>
      <c r="G257">
        <f t="shared" si="3"/>
        <v>105780</v>
      </c>
      <c r="H257" t="s">
        <v>74</v>
      </c>
      <c r="I257" s="14" t="s">
        <v>65</v>
      </c>
      <c r="J257" s="1">
        <v>3.8</v>
      </c>
      <c r="K257" s="8" t="s">
        <v>671</v>
      </c>
      <c r="L257" s="8">
        <v>2026</v>
      </c>
    </row>
    <row r="258" spans="1:12">
      <c r="A258" t="s">
        <v>397</v>
      </c>
      <c r="B258" t="s">
        <v>159</v>
      </c>
      <c r="C258" t="s">
        <v>6</v>
      </c>
      <c r="D258" t="s">
        <v>7</v>
      </c>
      <c r="E258">
        <v>3</v>
      </c>
      <c r="F258">
        <v>27909</v>
      </c>
      <c r="G258">
        <f t="shared" si="3"/>
        <v>83727</v>
      </c>
      <c r="H258" t="s">
        <v>46</v>
      </c>
      <c r="I258" s="14" t="s">
        <v>40</v>
      </c>
      <c r="J258" s="1">
        <v>4.4000000000000004</v>
      </c>
      <c r="K258" s="8" t="s">
        <v>669</v>
      </c>
      <c r="L258" s="8">
        <v>2026</v>
      </c>
    </row>
    <row r="259" spans="1:12">
      <c r="A259" t="s">
        <v>398</v>
      </c>
      <c r="B259" t="s">
        <v>98</v>
      </c>
      <c r="C259" t="s">
        <v>6</v>
      </c>
      <c r="D259" t="s">
        <v>7</v>
      </c>
      <c r="E259">
        <v>5</v>
      </c>
      <c r="F259">
        <v>17700</v>
      </c>
      <c r="G259">
        <f t="shared" ref="G259:G322" si="4">SUM(F259*E259)</f>
        <v>88500</v>
      </c>
      <c r="H259" t="s">
        <v>49</v>
      </c>
      <c r="I259" s="14" t="s">
        <v>65</v>
      </c>
      <c r="J259" s="1">
        <v>4.9000000000000004</v>
      </c>
      <c r="K259" s="8" t="s">
        <v>663</v>
      </c>
      <c r="L259" s="8">
        <v>2026</v>
      </c>
    </row>
    <row r="260" spans="1:12">
      <c r="A260" t="s">
        <v>399</v>
      </c>
      <c r="B260" t="s">
        <v>86</v>
      </c>
      <c r="C260" t="s">
        <v>59</v>
      </c>
      <c r="D260" t="s">
        <v>7</v>
      </c>
      <c r="E260">
        <v>3</v>
      </c>
      <c r="F260">
        <v>38204</v>
      </c>
      <c r="G260">
        <f t="shared" si="4"/>
        <v>114612</v>
      </c>
      <c r="H260" t="s">
        <v>35</v>
      </c>
      <c r="I260" s="14" t="s">
        <v>40</v>
      </c>
      <c r="J260" s="1">
        <v>3.7</v>
      </c>
      <c r="K260" s="8" t="s">
        <v>676</v>
      </c>
      <c r="L260" s="8">
        <v>2026</v>
      </c>
    </row>
    <row r="261" spans="1:12">
      <c r="A261" t="s">
        <v>400</v>
      </c>
      <c r="B261" t="s">
        <v>376</v>
      </c>
      <c r="C261" t="s">
        <v>6</v>
      </c>
      <c r="D261" t="s">
        <v>7</v>
      </c>
      <c r="E261">
        <v>5</v>
      </c>
      <c r="F261">
        <v>26000</v>
      </c>
      <c r="G261">
        <f t="shared" si="4"/>
        <v>130000</v>
      </c>
      <c r="H261" t="s">
        <v>74</v>
      </c>
      <c r="I261" s="14" t="s">
        <v>8</v>
      </c>
      <c r="J261" s="1">
        <v>3</v>
      </c>
      <c r="K261" s="8" t="s">
        <v>663</v>
      </c>
      <c r="L261" s="8">
        <v>2026</v>
      </c>
    </row>
    <row r="262" spans="1:12">
      <c r="A262" t="s">
        <v>401</v>
      </c>
      <c r="B262" t="s">
        <v>346</v>
      </c>
      <c r="C262" t="s">
        <v>6</v>
      </c>
      <c r="D262" t="s">
        <v>7</v>
      </c>
      <c r="E262">
        <v>2</v>
      </c>
      <c r="F262">
        <v>13285</v>
      </c>
      <c r="G262">
        <f t="shared" si="4"/>
        <v>26570</v>
      </c>
      <c r="H262" t="s">
        <v>74</v>
      </c>
      <c r="I262" s="14" t="s">
        <v>8</v>
      </c>
      <c r="J262" s="1">
        <v>3.6</v>
      </c>
      <c r="K262" s="8" t="s">
        <v>675</v>
      </c>
      <c r="L262" s="8">
        <v>2026</v>
      </c>
    </row>
    <row r="263" spans="1:12">
      <c r="A263" t="s">
        <v>402</v>
      </c>
      <c r="B263" t="s">
        <v>225</v>
      </c>
      <c r="C263" t="s">
        <v>79</v>
      </c>
      <c r="D263" t="s">
        <v>80</v>
      </c>
      <c r="E263">
        <v>1</v>
      </c>
      <c r="F263">
        <v>31504</v>
      </c>
      <c r="G263">
        <f t="shared" si="4"/>
        <v>31504</v>
      </c>
      <c r="H263" t="s">
        <v>9</v>
      </c>
      <c r="I263" s="14" t="s">
        <v>30</v>
      </c>
      <c r="J263" s="1">
        <v>4.0999999999999996</v>
      </c>
      <c r="K263" s="8" t="s">
        <v>674</v>
      </c>
      <c r="L263" s="8">
        <v>2026</v>
      </c>
    </row>
    <row r="264" spans="1:12">
      <c r="A264" t="s">
        <v>403</v>
      </c>
      <c r="B264" t="s">
        <v>135</v>
      </c>
      <c r="C264" t="s">
        <v>59</v>
      </c>
      <c r="D264" t="s">
        <v>7</v>
      </c>
      <c r="E264">
        <v>1</v>
      </c>
      <c r="F264">
        <v>22134</v>
      </c>
      <c r="G264">
        <f t="shared" si="4"/>
        <v>22134</v>
      </c>
      <c r="H264" t="s">
        <v>35</v>
      </c>
      <c r="I264" s="14" t="s">
        <v>43</v>
      </c>
      <c r="J264" s="1">
        <v>4</v>
      </c>
      <c r="K264" s="8" t="s">
        <v>673</v>
      </c>
      <c r="L264" s="8">
        <v>2026</v>
      </c>
    </row>
    <row r="265" spans="1:12">
      <c r="A265" t="s">
        <v>404</v>
      </c>
      <c r="B265" t="s">
        <v>353</v>
      </c>
      <c r="C265" t="s">
        <v>79</v>
      </c>
      <c r="D265" t="s">
        <v>80</v>
      </c>
      <c r="E265">
        <v>2</v>
      </c>
      <c r="F265">
        <v>33562</v>
      </c>
      <c r="G265">
        <f t="shared" si="4"/>
        <v>67124</v>
      </c>
      <c r="H265" t="s">
        <v>35</v>
      </c>
      <c r="I265" s="14" t="s">
        <v>30</v>
      </c>
      <c r="J265" s="1">
        <v>3.4</v>
      </c>
      <c r="K265" s="8" t="s">
        <v>663</v>
      </c>
      <c r="L265" s="8">
        <v>2026</v>
      </c>
    </row>
    <row r="266" spans="1:12">
      <c r="A266" t="s">
        <v>405</v>
      </c>
      <c r="B266" t="s">
        <v>91</v>
      </c>
      <c r="C266" t="s">
        <v>15</v>
      </c>
      <c r="D266" t="s">
        <v>7</v>
      </c>
      <c r="E266">
        <v>4</v>
      </c>
      <c r="F266">
        <v>34053</v>
      </c>
      <c r="G266">
        <f t="shared" si="4"/>
        <v>136212</v>
      </c>
      <c r="H266" t="s">
        <v>9</v>
      </c>
      <c r="I266" s="14" t="s">
        <v>65</v>
      </c>
      <c r="J266" s="1">
        <v>4.9000000000000004</v>
      </c>
      <c r="K266" s="8" t="s">
        <v>663</v>
      </c>
      <c r="L266" s="8">
        <v>2026</v>
      </c>
    </row>
    <row r="267" spans="1:12">
      <c r="A267" t="s">
        <v>406</v>
      </c>
      <c r="B267" t="s">
        <v>102</v>
      </c>
      <c r="C267" t="s">
        <v>105</v>
      </c>
      <c r="D267" t="s">
        <v>106</v>
      </c>
      <c r="E267">
        <v>4</v>
      </c>
      <c r="F267">
        <v>21055</v>
      </c>
      <c r="G267">
        <f t="shared" si="4"/>
        <v>84220</v>
      </c>
      <c r="H267" t="s">
        <v>64</v>
      </c>
      <c r="I267" s="14" t="s">
        <v>8</v>
      </c>
      <c r="J267" s="1">
        <v>3.5</v>
      </c>
      <c r="K267" s="8" t="s">
        <v>667</v>
      </c>
      <c r="L267" s="8">
        <v>2026</v>
      </c>
    </row>
    <row r="268" spans="1:12">
      <c r="A268" t="s">
        <v>407</v>
      </c>
      <c r="B268" t="s">
        <v>186</v>
      </c>
      <c r="C268" t="s">
        <v>55</v>
      </c>
      <c r="D268" t="s">
        <v>56</v>
      </c>
      <c r="E268">
        <v>1</v>
      </c>
      <c r="F268">
        <v>36765</v>
      </c>
      <c r="G268">
        <f t="shared" si="4"/>
        <v>36765</v>
      </c>
      <c r="H268" t="s">
        <v>64</v>
      </c>
      <c r="I268" s="14" t="s">
        <v>65</v>
      </c>
      <c r="J268" s="1">
        <v>3.9</v>
      </c>
      <c r="K268" s="8" t="s">
        <v>663</v>
      </c>
      <c r="L268" s="8">
        <v>2026</v>
      </c>
    </row>
    <row r="269" spans="1:12">
      <c r="A269" t="s">
        <v>408</v>
      </c>
      <c r="B269" t="s">
        <v>210</v>
      </c>
      <c r="C269" t="s">
        <v>10</v>
      </c>
      <c r="D269" t="s">
        <v>11</v>
      </c>
      <c r="E269">
        <v>2</v>
      </c>
      <c r="F269">
        <v>27580</v>
      </c>
      <c r="G269">
        <f t="shared" si="4"/>
        <v>55160</v>
      </c>
      <c r="H269" t="s">
        <v>35</v>
      </c>
      <c r="I269" s="14" t="s">
        <v>65</v>
      </c>
      <c r="J269" s="1">
        <v>4.0999999999999996</v>
      </c>
      <c r="K269" s="8" t="s">
        <v>674</v>
      </c>
      <c r="L269" s="8">
        <v>2026</v>
      </c>
    </row>
    <row r="270" spans="1:12">
      <c r="A270" t="s">
        <v>409</v>
      </c>
      <c r="B270" t="s">
        <v>76</v>
      </c>
      <c r="C270" t="s">
        <v>52</v>
      </c>
      <c r="D270" t="s">
        <v>11</v>
      </c>
      <c r="E270">
        <v>4</v>
      </c>
      <c r="F270">
        <v>2459</v>
      </c>
      <c r="G270">
        <f t="shared" si="4"/>
        <v>9836</v>
      </c>
      <c r="H270" t="s">
        <v>64</v>
      </c>
      <c r="I270" s="14" t="s">
        <v>8</v>
      </c>
      <c r="J270" s="1">
        <v>3.1</v>
      </c>
      <c r="K270" s="8" t="s">
        <v>663</v>
      </c>
      <c r="L270" s="8">
        <v>2026</v>
      </c>
    </row>
    <row r="271" spans="1:12">
      <c r="A271" t="s">
        <v>410</v>
      </c>
      <c r="B271" t="s">
        <v>114</v>
      </c>
      <c r="C271" t="s">
        <v>105</v>
      </c>
      <c r="D271" t="s">
        <v>106</v>
      </c>
      <c r="E271">
        <v>1</v>
      </c>
      <c r="F271">
        <v>5720</v>
      </c>
      <c r="G271">
        <f t="shared" si="4"/>
        <v>5720</v>
      </c>
      <c r="H271" t="s">
        <v>27</v>
      </c>
      <c r="I271" s="14" t="s">
        <v>8</v>
      </c>
      <c r="J271" s="1">
        <v>3.5</v>
      </c>
      <c r="K271" s="8" t="s">
        <v>673</v>
      </c>
      <c r="L271" s="8">
        <v>2026</v>
      </c>
    </row>
    <row r="272" spans="1:12">
      <c r="A272" t="s">
        <v>411</v>
      </c>
      <c r="B272" t="s">
        <v>264</v>
      </c>
      <c r="C272" t="s">
        <v>15</v>
      </c>
      <c r="D272" t="s">
        <v>7</v>
      </c>
      <c r="E272">
        <v>3</v>
      </c>
      <c r="F272">
        <v>34814</v>
      </c>
      <c r="G272">
        <f t="shared" si="4"/>
        <v>104442</v>
      </c>
      <c r="H272" t="s">
        <v>49</v>
      </c>
      <c r="I272" s="14" t="s">
        <v>65</v>
      </c>
      <c r="J272" s="1">
        <v>3.2</v>
      </c>
      <c r="K272" s="8" t="s">
        <v>668</v>
      </c>
      <c r="L272" s="8">
        <v>2026</v>
      </c>
    </row>
    <row r="273" spans="1:12">
      <c r="A273" t="s">
        <v>412</v>
      </c>
      <c r="B273" t="s">
        <v>42</v>
      </c>
      <c r="C273" t="s">
        <v>12</v>
      </c>
      <c r="D273" t="s">
        <v>7</v>
      </c>
      <c r="E273">
        <v>3</v>
      </c>
      <c r="F273">
        <v>32975</v>
      </c>
      <c r="G273">
        <f t="shared" si="4"/>
        <v>98925</v>
      </c>
      <c r="H273" t="s">
        <v>27</v>
      </c>
      <c r="I273" s="14" t="s">
        <v>30</v>
      </c>
      <c r="J273" s="1">
        <v>4.7</v>
      </c>
      <c r="K273" s="8" t="s">
        <v>674</v>
      </c>
      <c r="L273" s="8">
        <v>2026</v>
      </c>
    </row>
    <row r="274" spans="1:12">
      <c r="A274" t="s">
        <v>413</v>
      </c>
      <c r="B274" t="s">
        <v>102</v>
      </c>
      <c r="C274" t="s">
        <v>55</v>
      </c>
      <c r="D274" t="s">
        <v>56</v>
      </c>
      <c r="E274">
        <v>5</v>
      </c>
      <c r="F274">
        <v>28326</v>
      </c>
      <c r="G274">
        <f t="shared" si="4"/>
        <v>141630</v>
      </c>
      <c r="H274" t="s">
        <v>74</v>
      </c>
      <c r="I274" s="14" t="s">
        <v>40</v>
      </c>
      <c r="J274" s="1">
        <v>4</v>
      </c>
      <c r="K274" s="8" t="s">
        <v>675</v>
      </c>
      <c r="L274" s="8">
        <v>2026</v>
      </c>
    </row>
    <row r="275" spans="1:12">
      <c r="A275" t="s">
        <v>414</v>
      </c>
      <c r="B275" t="s">
        <v>182</v>
      </c>
      <c r="C275" t="s">
        <v>6</v>
      </c>
      <c r="D275" t="s">
        <v>7</v>
      </c>
      <c r="E275">
        <v>3</v>
      </c>
      <c r="F275">
        <v>9135</v>
      </c>
      <c r="G275">
        <f t="shared" si="4"/>
        <v>27405</v>
      </c>
      <c r="H275" t="s">
        <v>64</v>
      </c>
      <c r="I275" s="14" t="s">
        <v>8</v>
      </c>
      <c r="J275" s="1">
        <v>4.4000000000000004</v>
      </c>
      <c r="K275" s="8" t="s">
        <v>674</v>
      </c>
      <c r="L275" s="8">
        <v>2026</v>
      </c>
    </row>
    <row r="276" spans="1:12">
      <c r="A276" t="s">
        <v>415</v>
      </c>
      <c r="B276" t="s">
        <v>63</v>
      </c>
      <c r="C276" t="s">
        <v>52</v>
      </c>
      <c r="D276" t="s">
        <v>11</v>
      </c>
      <c r="E276">
        <v>2</v>
      </c>
      <c r="F276">
        <v>669</v>
      </c>
      <c r="G276">
        <f t="shared" si="4"/>
        <v>1338</v>
      </c>
      <c r="H276" t="s">
        <v>64</v>
      </c>
      <c r="I276" s="14" t="s">
        <v>8</v>
      </c>
      <c r="J276" s="1">
        <v>4</v>
      </c>
      <c r="K276" s="8" t="s">
        <v>663</v>
      </c>
      <c r="L276" s="8">
        <v>2026</v>
      </c>
    </row>
    <row r="277" spans="1:12">
      <c r="A277" t="s">
        <v>416</v>
      </c>
      <c r="B277" t="s">
        <v>219</v>
      </c>
      <c r="C277" t="s">
        <v>10</v>
      </c>
      <c r="D277" t="s">
        <v>11</v>
      </c>
      <c r="E277">
        <v>2</v>
      </c>
      <c r="F277">
        <v>11618</v>
      </c>
      <c r="G277">
        <f t="shared" si="4"/>
        <v>23236</v>
      </c>
      <c r="H277" t="s">
        <v>49</v>
      </c>
      <c r="I277" s="14" t="s">
        <v>30</v>
      </c>
      <c r="J277" s="1">
        <v>4.8</v>
      </c>
      <c r="K277" s="8" t="s">
        <v>674</v>
      </c>
      <c r="L277" s="8">
        <v>2026</v>
      </c>
    </row>
    <row r="278" spans="1:12">
      <c r="A278" t="s">
        <v>417</v>
      </c>
      <c r="B278" t="s">
        <v>128</v>
      </c>
      <c r="C278" t="s">
        <v>15</v>
      </c>
      <c r="D278" s="9" t="s">
        <v>7</v>
      </c>
      <c r="E278">
        <v>5</v>
      </c>
      <c r="F278">
        <v>25241</v>
      </c>
      <c r="G278">
        <f t="shared" si="4"/>
        <v>126205</v>
      </c>
      <c r="H278" t="s">
        <v>46</v>
      </c>
      <c r="I278" s="14" t="s">
        <v>65</v>
      </c>
      <c r="J278" s="1">
        <v>3.5</v>
      </c>
      <c r="K278" s="8" t="s">
        <v>674</v>
      </c>
      <c r="L278" s="8">
        <v>2026</v>
      </c>
    </row>
    <row r="279" spans="1:12">
      <c r="A279" t="s">
        <v>418</v>
      </c>
      <c r="B279" t="s">
        <v>237</v>
      </c>
      <c r="C279" t="s">
        <v>15</v>
      </c>
      <c r="D279" s="9" t="s">
        <v>7</v>
      </c>
      <c r="E279">
        <v>5</v>
      </c>
      <c r="F279">
        <v>16532</v>
      </c>
      <c r="G279">
        <f t="shared" si="4"/>
        <v>82660</v>
      </c>
      <c r="H279" t="s">
        <v>49</v>
      </c>
      <c r="I279" s="14" t="s">
        <v>8</v>
      </c>
      <c r="J279" s="1">
        <v>3.2</v>
      </c>
      <c r="K279" s="8" t="s">
        <v>663</v>
      </c>
      <c r="L279" s="8">
        <v>2026</v>
      </c>
    </row>
    <row r="280" spans="1:12">
      <c r="A280" t="s">
        <v>419</v>
      </c>
      <c r="B280" t="s">
        <v>225</v>
      </c>
      <c r="C280" t="s">
        <v>12</v>
      </c>
      <c r="D280" s="9" t="s">
        <v>7</v>
      </c>
      <c r="E280">
        <v>1</v>
      </c>
      <c r="F280">
        <v>26513</v>
      </c>
      <c r="G280">
        <f t="shared" si="4"/>
        <v>26513</v>
      </c>
      <c r="H280" t="s">
        <v>46</v>
      </c>
      <c r="I280" s="14" t="s">
        <v>65</v>
      </c>
      <c r="J280" s="1">
        <v>4.4000000000000004</v>
      </c>
      <c r="K280" s="8" t="s">
        <v>674</v>
      </c>
      <c r="L280" s="8">
        <v>2026</v>
      </c>
    </row>
    <row r="281" spans="1:12">
      <c r="A281" t="s">
        <v>420</v>
      </c>
      <c r="B281" t="s">
        <v>39</v>
      </c>
      <c r="C281" t="s">
        <v>16</v>
      </c>
      <c r="D281" t="s">
        <v>14</v>
      </c>
      <c r="E281">
        <v>3</v>
      </c>
      <c r="F281">
        <v>26326</v>
      </c>
      <c r="G281">
        <f t="shared" si="4"/>
        <v>78978</v>
      </c>
      <c r="H281" t="s">
        <v>49</v>
      </c>
      <c r="I281" s="14" t="s">
        <v>8</v>
      </c>
      <c r="J281" s="1">
        <v>5</v>
      </c>
      <c r="K281" s="8" t="s">
        <v>676</v>
      </c>
      <c r="L281" s="8">
        <v>2026</v>
      </c>
    </row>
    <row r="282" spans="1:12">
      <c r="A282" t="s">
        <v>421</v>
      </c>
      <c r="B282" t="s">
        <v>42</v>
      </c>
      <c r="C282" t="s">
        <v>52</v>
      </c>
      <c r="D282" t="s">
        <v>11</v>
      </c>
      <c r="E282">
        <v>2</v>
      </c>
      <c r="F282">
        <v>1361</v>
      </c>
      <c r="G282">
        <f t="shared" si="4"/>
        <v>2722</v>
      </c>
      <c r="H282" t="s">
        <v>35</v>
      </c>
      <c r="I282" s="14" t="s">
        <v>43</v>
      </c>
      <c r="J282" s="1">
        <v>4.5999999999999996</v>
      </c>
      <c r="K282" s="8" t="s">
        <v>663</v>
      </c>
      <c r="L282" s="8">
        <v>2026</v>
      </c>
    </row>
    <row r="283" spans="1:12">
      <c r="A283" t="s">
        <v>422</v>
      </c>
      <c r="B283" t="s">
        <v>203</v>
      </c>
      <c r="C283" t="s">
        <v>12</v>
      </c>
      <c r="D283" s="9" t="s">
        <v>7</v>
      </c>
      <c r="E283">
        <v>4</v>
      </c>
      <c r="F283">
        <v>49108</v>
      </c>
      <c r="G283">
        <f t="shared" si="4"/>
        <v>196432</v>
      </c>
      <c r="H283" t="s">
        <v>35</v>
      </c>
      <c r="I283" s="14" t="s">
        <v>40</v>
      </c>
      <c r="J283" s="1">
        <v>3.5</v>
      </c>
      <c r="K283" s="8" t="s">
        <v>668</v>
      </c>
      <c r="L283" s="8">
        <v>2026</v>
      </c>
    </row>
    <row r="284" spans="1:12">
      <c r="A284" t="s">
        <v>423</v>
      </c>
      <c r="B284" t="s">
        <v>283</v>
      </c>
      <c r="C284" t="s">
        <v>15</v>
      </c>
      <c r="D284" t="s">
        <v>7</v>
      </c>
      <c r="E284">
        <v>5</v>
      </c>
      <c r="F284">
        <v>42221</v>
      </c>
      <c r="G284">
        <f t="shared" si="4"/>
        <v>211105</v>
      </c>
      <c r="H284" t="s">
        <v>74</v>
      </c>
      <c r="I284" s="14" t="s">
        <v>65</v>
      </c>
      <c r="J284" s="1">
        <v>4.2</v>
      </c>
      <c r="K284" s="8" t="s">
        <v>668</v>
      </c>
      <c r="L284" s="8">
        <v>2026</v>
      </c>
    </row>
    <row r="285" spans="1:12">
      <c r="A285" t="s">
        <v>424</v>
      </c>
      <c r="B285" t="s">
        <v>170</v>
      </c>
      <c r="C285" t="s">
        <v>59</v>
      </c>
      <c r="D285" s="9" t="s">
        <v>7</v>
      </c>
      <c r="E285">
        <v>5</v>
      </c>
      <c r="F285">
        <v>45804</v>
      </c>
      <c r="G285">
        <f t="shared" si="4"/>
        <v>229020</v>
      </c>
      <c r="H285" t="s">
        <v>49</v>
      </c>
      <c r="I285" s="14" t="s">
        <v>40</v>
      </c>
      <c r="J285" s="1">
        <v>3.8</v>
      </c>
      <c r="K285" s="8" t="s">
        <v>673</v>
      </c>
      <c r="L285" s="8">
        <v>2026</v>
      </c>
    </row>
    <row r="286" spans="1:12">
      <c r="A286" t="s">
        <v>425</v>
      </c>
      <c r="B286" t="s">
        <v>305</v>
      </c>
      <c r="C286" t="s">
        <v>26</v>
      </c>
      <c r="D286" s="9" t="s">
        <v>7</v>
      </c>
      <c r="E286">
        <v>1</v>
      </c>
      <c r="F286">
        <v>37918</v>
      </c>
      <c r="G286">
        <f t="shared" si="4"/>
        <v>37918</v>
      </c>
      <c r="H286" t="s">
        <v>46</v>
      </c>
      <c r="I286" s="14" t="s">
        <v>43</v>
      </c>
      <c r="J286" s="1">
        <v>4.5999999999999996</v>
      </c>
      <c r="K286" s="8" t="s">
        <v>670</v>
      </c>
      <c r="L286" s="8">
        <v>2026</v>
      </c>
    </row>
    <row r="287" spans="1:12">
      <c r="A287" t="s">
        <v>426</v>
      </c>
      <c r="B287" t="s">
        <v>73</v>
      </c>
      <c r="C287" t="s">
        <v>15</v>
      </c>
      <c r="D287" s="9" t="s">
        <v>7</v>
      </c>
      <c r="E287">
        <v>1</v>
      </c>
      <c r="F287">
        <v>45119</v>
      </c>
      <c r="G287">
        <f t="shared" si="4"/>
        <v>45119</v>
      </c>
      <c r="H287" t="s">
        <v>64</v>
      </c>
      <c r="I287" s="14" t="s">
        <v>30</v>
      </c>
      <c r="J287" s="1">
        <v>4.9000000000000004</v>
      </c>
      <c r="K287" s="8" t="s">
        <v>668</v>
      </c>
      <c r="L287" s="8">
        <v>2026</v>
      </c>
    </row>
    <row r="288" spans="1:12">
      <c r="A288" t="s">
        <v>427</v>
      </c>
      <c r="B288" t="s">
        <v>78</v>
      </c>
      <c r="C288" t="s">
        <v>79</v>
      </c>
      <c r="D288" t="s">
        <v>80</v>
      </c>
      <c r="E288">
        <v>3</v>
      </c>
      <c r="F288">
        <v>17833</v>
      </c>
      <c r="G288">
        <f t="shared" si="4"/>
        <v>53499</v>
      </c>
      <c r="H288" t="s">
        <v>9</v>
      </c>
      <c r="I288" s="14" t="s">
        <v>8</v>
      </c>
      <c r="J288" s="1">
        <v>4.3</v>
      </c>
      <c r="K288" s="8" t="s">
        <v>668</v>
      </c>
      <c r="L288" s="8">
        <v>2026</v>
      </c>
    </row>
    <row r="289" spans="1:12">
      <c r="A289" t="s">
        <v>428</v>
      </c>
      <c r="B289" t="s">
        <v>82</v>
      </c>
      <c r="C289" t="s">
        <v>12</v>
      </c>
      <c r="D289" s="9" t="s">
        <v>7</v>
      </c>
      <c r="E289">
        <v>3</v>
      </c>
      <c r="F289">
        <v>2023</v>
      </c>
      <c r="G289">
        <f t="shared" si="4"/>
        <v>6069</v>
      </c>
      <c r="H289" t="s">
        <v>49</v>
      </c>
      <c r="I289" s="14" t="s">
        <v>8</v>
      </c>
      <c r="J289" s="1">
        <v>4.2</v>
      </c>
      <c r="K289" s="8" t="s">
        <v>671</v>
      </c>
      <c r="L289" s="8">
        <v>2026</v>
      </c>
    </row>
    <row r="290" spans="1:12">
      <c r="A290" t="s">
        <v>429</v>
      </c>
      <c r="B290" t="s">
        <v>257</v>
      </c>
      <c r="C290" t="s">
        <v>6</v>
      </c>
      <c r="D290" s="9" t="s">
        <v>7</v>
      </c>
      <c r="E290">
        <v>5</v>
      </c>
      <c r="F290">
        <v>49968</v>
      </c>
      <c r="G290">
        <f t="shared" si="4"/>
        <v>249840</v>
      </c>
      <c r="H290" t="s">
        <v>35</v>
      </c>
      <c r="I290" s="14" t="s">
        <v>8</v>
      </c>
      <c r="J290" s="1">
        <v>3.8</v>
      </c>
      <c r="K290" s="8" t="s">
        <v>670</v>
      </c>
      <c r="L290" s="8">
        <v>2026</v>
      </c>
    </row>
    <row r="291" spans="1:12">
      <c r="A291" t="s">
        <v>430</v>
      </c>
      <c r="B291" t="s">
        <v>84</v>
      </c>
      <c r="C291" t="s">
        <v>52</v>
      </c>
      <c r="D291" t="s">
        <v>11</v>
      </c>
      <c r="E291">
        <v>2</v>
      </c>
      <c r="F291">
        <v>17863</v>
      </c>
      <c r="G291">
        <f t="shared" si="4"/>
        <v>35726</v>
      </c>
      <c r="H291" t="s">
        <v>46</v>
      </c>
      <c r="I291" s="14" t="s">
        <v>65</v>
      </c>
      <c r="J291" s="1">
        <v>3.9</v>
      </c>
      <c r="K291" s="8" t="s">
        <v>669</v>
      </c>
      <c r="L291" s="8">
        <v>2026</v>
      </c>
    </row>
    <row r="292" spans="1:12">
      <c r="A292" t="s">
        <v>431</v>
      </c>
      <c r="B292" t="s">
        <v>257</v>
      </c>
      <c r="C292" t="s">
        <v>15</v>
      </c>
      <c r="D292" s="9" t="s">
        <v>7</v>
      </c>
      <c r="E292">
        <v>2</v>
      </c>
      <c r="F292">
        <v>5986</v>
      </c>
      <c r="G292">
        <f t="shared" si="4"/>
        <v>11972</v>
      </c>
      <c r="H292" t="s">
        <v>64</v>
      </c>
      <c r="I292" s="14" t="s">
        <v>40</v>
      </c>
      <c r="J292" s="1">
        <v>3.6</v>
      </c>
      <c r="K292" s="8" t="s">
        <v>663</v>
      </c>
      <c r="L292" s="8">
        <v>2026</v>
      </c>
    </row>
    <row r="293" spans="1:12">
      <c r="A293" t="s">
        <v>432</v>
      </c>
      <c r="B293" t="s">
        <v>267</v>
      </c>
      <c r="C293" t="s">
        <v>12</v>
      </c>
      <c r="D293" t="s">
        <v>7</v>
      </c>
      <c r="E293">
        <v>5</v>
      </c>
      <c r="F293">
        <v>19562</v>
      </c>
      <c r="G293">
        <f t="shared" si="4"/>
        <v>97810</v>
      </c>
      <c r="H293" t="s">
        <v>64</v>
      </c>
      <c r="I293" s="14" t="s">
        <v>65</v>
      </c>
      <c r="J293" s="1">
        <v>3.8</v>
      </c>
      <c r="K293" s="8" t="s">
        <v>663</v>
      </c>
      <c r="L293" s="8">
        <v>2026</v>
      </c>
    </row>
    <row r="294" spans="1:12">
      <c r="A294" t="s">
        <v>433</v>
      </c>
      <c r="B294" t="s">
        <v>128</v>
      </c>
      <c r="C294" t="s">
        <v>79</v>
      </c>
      <c r="D294" t="s">
        <v>80</v>
      </c>
      <c r="E294">
        <v>4</v>
      </c>
      <c r="F294">
        <v>46700</v>
      </c>
      <c r="G294">
        <f t="shared" si="4"/>
        <v>186800</v>
      </c>
      <c r="H294" t="s">
        <v>35</v>
      </c>
      <c r="I294" s="14" t="s">
        <v>65</v>
      </c>
      <c r="J294" s="1">
        <v>4.4000000000000004</v>
      </c>
      <c r="K294" s="8" t="s">
        <v>676</v>
      </c>
      <c r="L294" s="8">
        <v>2026</v>
      </c>
    </row>
    <row r="295" spans="1:12">
      <c r="A295" t="s">
        <v>434</v>
      </c>
      <c r="B295" t="s">
        <v>51</v>
      </c>
      <c r="C295" t="s">
        <v>52</v>
      </c>
      <c r="D295" t="s">
        <v>11</v>
      </c>
      <c r="E295">
        <v>5</v>
      </c>
      <c r="F295">
        <v>7111</v>
      </c>
      <c r="G295">
        <f t="shared" si="4"/>
        <v>35555</v>
      </c>
      <c r="H295" t="s">
        <v>74</v>
      </c>
      <c r="I295" s="14" t="s">
        <v>40</v>
      </c>
      <c r="J295" s="1">
        <v>3.9</v>
      </c>
      <c r="K295" s="8" t="s">
        <v>663</v>
      </c>
      <c r="L295" s="8">
        <v>2026</v>
      </c>
    </row>
    <row r="296" spans="1:12">
      <c r="A296" t="s">
        <v>435</v>
      </c>
      <c r="B296" t="s">
        <v>257</v>
      </c>
      <c r="C296" t="s">
        <v>12</v>
      </c>
      <c r="D296" s="9" t="s">
        <v>7</v>
      </c>
      <c r="E296">
        <v>5</v>
      </c>
      <c r="F296">
        <v>41852</v>
      </c>
      <c r="G296">
        <f t="shared" si="4"/>
        <v>209260</v>
      </c>
      <c r="H296" t="s">
        <v>64</v>
      </c>
      <c r="I296" s="14" t="s">
        <v>65</v>
      </c>
      <c r="J296" s="1">
        <v>4</v>
      </c>
      <c r="K296" s="8" t="s">
        <v>670</v>
      </c>
      <c r="L296" s="8">
        <v>2026</v>
      </c>
    </row>
    <row r="297" spans="1:12">
      <c r="A297" t="s">
        <v>436</v>
      </c>
      <c r="B297" t="s">
        <v>135</v>
      </c>
      <c r="C297" t="s">
        <v>6</v>
      </c>
      <c r="D297" t="s">
        <v>7</v>
      </c>
      <c r="E297">
        <v>1</v>
      </c>
      <c r="F297">
        <v>37924</v>
      </c>
      <c r="G297">
        <f t="shared" si="4"/>
        <v>37924</v>
      </c>
      <c r="H297" t="s">
        <v>35</v>
      </c>
      <c r="I297" s="14" t="s">
        <v>65</v>
      </c>
      <c r="J297" s="1">
        <v>4.8</v>
      </c>
      <c r="K297" s="8" t="s">
        <v>663</v>
      </c>
      <c r="L297" s="8">
        <v>2026</v>
      </c>
    </row>
    <row r="298" spans="1:12">
      <c r="A298" t="s">
        <v>437</v>
      </c>
      <c r="B298" t="s">
        <v>348</v>
      </c>
      <c r="C298" t="s">
        <v>105</v>
      </c>
      <c r="D298" t="s">
        <v>106</v>
      </c>
      <c r="E298">
        <v>5</v>
      </c>
      <c r="F298">
        <v>5546</v>
      </c>
      <c r="G298">
        <f t="shared" si="4"/>
        <v>27730</v>
      </c>
      <c r="H298" t="s">
        <v>74</v>
      </c>
      <c r="I298" s="14" t="s">
        <v>40</v>
      </c>
      <c r="J298" s="1">
        <v>4.2</v>
      </c>
      <c r="K298" s="8" t="s">
        <v>663</v>
      </c>
      <c r="L298" s="8">
        <v>2026</v>
      </c>
    </row>
    <row r="299" spans="1:12">
      <c r="A299" t="s">
        <v>438</v>
      </c>
      <c r="B299" t="s">
        <v>395</v>
      </c>
      <c r="C299" t="s">
        <v>26</v>
      </c>
      <c r="D299" s="9" t="s">
        <v>7</v>
      </c>
      <c r="E299">
        <v>1</v>
      </c>
      <c r="F299">
        <v>4217</v>
      </c>
      <c r="G299">
        <f t="shared" si="4"/>
        <v>4217</v>
      </c>
      <c r="H299" t="s">
        <v>9</v>
      </c>
      <c r="I299" s="14" t="s">
        <v>65</v>
      </c>
      <c r="J299" s="1">
        <v>4.5999999999999996</v>
      </c>
      <c r="K299" s="8" t="s">
        <v>669</v>
      </c>
      <c r="L299" s="8">
        <v>2026</v>
      </c>
    </row>
    <row r="300" spans="1:12">
      <c r="A300" t="s">
        <v>439</v>
      </c>
      <c r="B300" t="s">
        <v>78</v>
      </c>
      <c r="C300" t="s">
        <v>10</v>
      </c>
      <c r="D300" t="s">
        <v>11</v>
      </c>
      <c r="E300">
        <v>5</v>
      </c>
      <c r="F300">
        <v>18998</v>
      </c>
      <c r="G300">
        <f t="shared" si="4"/>
        <v>94990</v>
      </c>
      <c r="H300" t="s">
        <v>46</v>
      </c>
      <c r="I300" s="14" t="s">
        <v>40</v>
      </c>
      <c r="J300" s="1">
        <v>3.4</v>
      </c>
      <c r="K300" s="8" t="s">
        <v>671</v>
      </c>
      <c r="L300" s="8">
        <v>2026</v>
      </c>
    </row>
    <row r="301" spans="1:12">
      <c r="A301" t="s">
        <v>440</v>
      </c>
      <c r="B301" t="s">
        <v>300</v>
      </c>
      <c r="C301" t="s">
        <v>15</v>
      </c>
      <c r="D301" s="9" t="s">
        <v>7</v>
      </c>
      <c r="E301">
        <v>1</v>
      </c>
      <c r="F301">
        <v>49639</v>
      </c>
      <c r="G301">
        <f t="shared" si="4"/>
        <v>49639</v>
      </c>
      <c r="H301" t="s">
        <v>49</v>
      </c>
      <c r="I301" s="14" t="s">
        <v>40</v>
      </c>
      <c r="J301" s="1">
        <v>3.1</v>
      </c>
      <c r="K301" s="8" t="s">
        <v>676</v>
      </c>
      <c r="L301" s="8">
        <v>2026</v>
      </c>
    </row>
    <row r="302" spans="1:12">
      <c r="A302" t="s">
        <v>441</v>
      </c>
      <c r="B302" t="s">
        <v>124</v>
      </c>
      <c r="C302" t="s">
        <v>16</v>
      </c>
      <c r="D302" t="s">
        <v>14</v>
      </c>
      <c r="E302">
        <v>3</v>
      </c>
      <c r="F302">
        <v>1890</v>
      </c>
      <c r="G302">
        <f t="shared" si="4"/>
        <v>5670</v>
      </c>
      <c r="H302" t="s">
        <v>46</v>
      </c>
      <c r="I302" s="14" t="s">
        <v>40</v>
      </c>
      <c r="J302" s="1">
        <v>3.5</v>
      </c>
      <c r="K302" s="8" t="s">
        <v>676</v>
      </c>
      <c r="L302" s="8">
        <v>2026</v>
      </c>
    </row>
    <row r="303" spans="1:12">
      <c r="A303" t="s">
        <v>442</v>
      </c>
      <c r="B303" t="s">
        <v>203</v>
      </c>
      <c r="C303" t="s">
        <v>16</v>
      </c>
      <c r="D303" t="s">
        <v>14</v>
      </c>
      <c r="E303">
        <v>1</v>
      </c>
      <c r="F303">
        <v>5872</v>
      </c>
      <c r="G303">
        <f t="shared" si="4"/>
        <v>5872</v>
      </c>
      <c r="H303" t="s">
        <v>49</v>
      </c>
      <c r="I303" s="14" t="s">
        <v>30</v>
      </c>
      <c r="J303" s="1">
        <v>4.9000000000000004</v>
      </c>
      <c r="K303" s="8" t="s">
        <v>675</v>
      </c>
      <c r="L303" s="8">
        <v>2026</v>
      </c>
    </row>
    <row r="304" spans="1:12">
      <c r="A304" t="s">
        <v>443</v>
      </c>
      <c r="B304" t="s">
        <v>89</v>
      </c>
      <c r="C304" t="s">
        <v>59</v>
      </c>
      <c r="D304" s="9" t="s">
        <v>7</v>
      </c>
      <c r="E304">
        <v>3</v>
      </c>
      <c r="F304">
        <v>7996</v>
      </c>
      <c r="G304">
        <f t="shared" si="4"/>
        <v>23988</v>
      </c>
      <c r="H304" t="s">
        <v>27</v>
      </c>
      <c r="I304" s="14" t="s">
        <v>8</v>
      </c>
      <c r="J304" s="1">
        <v>4.3</v>
      </c>
      <c r="K304" s="8" t="s">
        <v>671</v>
      </c>
      <c r="L304" s="8">
        <v>2026</v>
      </c>
    </row>
    <row r="305" spans="1:12">
      <c r="A305" t="s">
        <v>444</v>
      </c>
      <c r="B305" t="s">
        <v>348</v>
      </c>
      <c r="C305" t="s">
        <v>79</v>
      </c>
      <c r="D305" t="s">
        <v>80</v>
      </c>
      <c r="E305">
        <v>3</v>
      </c>
      <c r="F305">
        <v>46591</v>
      </c>
      <c r="G305">
        <f t="shared" si="4"/>
        <v>139773</v>
      </c>
      <c r="H305" t="s">
        <v>35</v>
      </c>
      <c r="I305" s="14" t="s">
        <v>30</v>
      </c>
      <c r="J305" s="1">
        <v>4.8</v>
      </c>
      <c r="K305" s="8" t="s">
        <v>667</v>
      </c>
      <c r="L305" s="8">
        <v>2026</v>
      </c>
    </row>
    <row r="306" spans="1:12">
      <c r="A306" t="s">
        <v>445</v>
      </c>
      <c r="B306" t="s">
        <v>135</v>
      </c>
      <c r="C306" t="s">
        <v>52</v>
      </c>
      <c r="D306" t="s">
        <v>11</v>
      </c>
      <c r="E306">
        <v>3</v>
      </c>
      <c r="F306">
        <v>16701</v>
      </c>
      <c r="G306">
        <f t="shared" si="4"/>
        <v>50103</v>
      </c>
      <c r="H306" t="s">
        <v>35</v>
      </c>
      <c r="I306" s="14" t="s">
        <v>8</v>
      </c>
      <c r="J306" s="1">
        <v>4.3</v>
      </c>
      <c r="K306" s="8" t="s">
        <v>663</v>
      </c>
      <c r="L306" s="8">
        <v>2026</v>
      </c>
    </row>
    <row r="307" spans="1:12">
      <c r="A307" t="s">
        <v>446</v>
      </c>
      <c r="B307" t="s">
        <v>170</v>
      </c>
      <c r="C307" t="s">
        <v>55</v>
      </c>
      <c r="D307" t="s">
        <v>56</v>
      </c>
      <c r="E307">
        <v>5</v>
      </c>
      <c r="F307">
        <v>26961</v>
      </c>
      <c r="G307">
        <f t="shared" si="4"/>
        <v>134805</v>
      </c>
      <c r="H307" t="s">
        <v>27</v>
      </c>
      <c r="I307" s="14" t="s">
        <v>43</v>
      </c>
      <c r="J307" s="1">
        <v>3.1</v>
      </c>
      <c r="K307" s="8" t="s">
        <v>671</v>
      </c>
      <c r="L307" s="8">
        <v>2026</v>
      </c>
    </row>
    <row r="308" spans="1:12">
      <c r="A308" t="s">
        <v>447</v>
      </c>
      <c r="B308" t="s">
        <v>298</v>
      </c>
      <c r="C308" t="s">
        <v>13</v>
      </c>
      <c r="D308" t="s">
        <v>14</v>
      </c>
      <c r="E308">
        <v>4</v>
      </c>
      <c r="F308">
        <v>17448</v>
      </c>
      <c r="G308">
        <f t="shared" si="4"/>
        <v>69792</v>
      </c>
      <c r="H308" t="s">
        <v>27</v>
      </c>
      <c r="I308" s="14" t="s">
        <v>8</v>
      </c>
      <c r="J308" s="1">
        <v>3.9</v>
      </c>
      <c r="K308" s="8" t="s">
        <v>669</v>
      </c>
      <c r="L308" s="8">
        <v>2026</v>
      </c>
    </row>
    <row r="309" spans="1:12">
      <c r="A309" t="s">
        <v>448</v>
      </c>
      <c r="B309" t="s">
        <v>167</v>
      </c>
      <c r="C309" t="s">
        <v>55</v>
      </c>
      <c r="D309" t="s">
        <v>56</v>
      </c>
      <c r="E309">
        <v>5</v>
      </c>
      <c r="F309">
        <v>14352</v>
      </c>
      <c r="G309">
        <f t="shared" si="4"/>
        <v>71760</v>
      </c>
      <c r="H309" t="s">
        <v>74</v>
      </c>
      <c r="I309" s="14" t="s">
        <v>40</v>
      </c>
      <c r="J309" s="1">
        <v>4.5999999999999996</v>
      </c>
      <c r="K309" s="8" t="s">
        <v>667</v>
      </c>
      <c r="L309" s="8">
        <v>2026</v>
      </c>
    </row>
    <row r="310" spans="1:12">
      <c r="A310" t="s">
        <v>449</v>
      </c>
      <c r="B310" t="s">
        <v>170</v>
      </c>
      <c r="C310" t="s">
        <v>105</v>
      </c>
      <c r="D310" t="s">
        <v>106</v>
      </c>
      <c r="E310">
        <v>1</v>
      </c>
      <c r="F310">
        <v>9555</v>
      </c>
      <c r="G310">
        <f t="shared" si="4"/>
        <v>9555</v>
      </c>
      <c r="H310" t="s">
        <v>35</v>
      </c>
      <c r="I310" s="14" t="s">
        <v>43</v>
      </c>
      <c r="J310" s="1">
        <v>4.5</v>
      </c>
      <c r="K310" s="8" t="s">
        <v>676</v>
      </c>
      <c r="L310" s="8">
        <v>2026</v>
      </c>
    </row>
    <row r="311" spans="1:12">
      <c r="A311" t="s">
        <v>450</v>
      </c>
      <c r="B311" t="s">
        <v>144</v>
      </c>
      <c r="C311" t="s">
        <v>6</v>
      </c>
      <c r="D311" s="9" t="s">
        <v>7</v>
      </c>
      <c r="E311">
        <v>4</v>
      </c>
      <c r="F311">
        <v>36623</v>
      </c>
      <c r="G311">
        <f t="shared" si="4"/>
        <v>146492</v>
      </c>
      <c r="H311" t="s">
        <v>35</v>
      </c>
      <c r="I311" s="14" t="s">
        <v>65</v>
      </c>
      <c r="J311" s="1">
        <v>4.9000000000000004</v>
      </c>
      <c r="K311" s="8" t="s">
        <v>675</v>
      </c>
      <c r="L311" s="8">
        <v>2026</v>
      </c>
    </row>
    <row r="312" spans="1:12">
      <c r="A312" t="s">
        <v>451</v>
      </c>
      <c r="B312" t="s">
        <v>237</v>
      </c>
      <c r="C312" t="s">
        <v>6</v>
      </c>
      <c r="D312" s="9" t="s">
        <v>7</v>
      </c>
      <c r="E312">
        <v>5</v>
      </c>
      <c r="F312">
        <v>38562</v>
      </c>
      <c r="G312">
        <f t="shared" si="4"/>
        <v>192810</v>
      </c>
      <c r="H312" t="s">
        <v>64</v>
      </c>
      <c r="I312" s="14" t="s">
        <v>40</v>
      </c>
      <c r="J312" s="1">
        <v>4.4000000000000004</v>
      </c>
      <c r="K312" s="8" t="s">
        <v>667</v>
      </c>
      <c r="L312" s="8">
        <v>2026</v>
      </c>
    </row>
    <row r="313" spans="1:12">
      <c r="A313" t="s">
        <v>452</v>
      </c>
      <c r="B313" t="s">
        <v>150</v>
      </c>
      <c r="C313" t="s">
        <v>6</v>
      </c>
      <c r="D313" s="9" t="s">
        <v>7</v>
      </c>
      <c r="E313">
        <v>4</v>
      </c>
      <c r="F313">
        <v>41809</v>
      </c>
      <c r="G313">
        <f t="shared" si="4"/>
        <v>167236</v>
      </c>
      <c r="H313" t="s">
        <v>27</v>
      </c>
      <c r="I313" s="14" t="s">
        <v>43</v>
      </c>
      <c r="J313" s="1">
        <v>4.5</v>
      </c>
      <c r="K313" s="8" t="s">
        <v>675</v>
      </c>
      <c r="L313" s="8">
        <v>2026</v>
      </c>
    </row>
    <row r="314" spans="1:12">
      <c r="A314" t="s">
        <v>453</v>
      </c>
      <c r="B314" t="s">
        <v>54</v>
      </c>
      <c r="C314" t="s">
        <v>16</v>
      </c>
      <c r="D314" t="s">
        <v>14</v>
      </c>
      <c r="E314">
        <v>4</v>
      </c>
      <c r="F314">
        <v>22486</v>
      </c>
      <c r="G314">
        <f t="shared" si="4"/>
        <v>89944</v>
      </c>
      <c r="H314" t="s">
        <v>74</v>
      </c>
      <c r="I314" s="14" t="s">
        <v>43</v>
      </c>
      <c r="J314" s="1">
        <v>4.0999999999999996</v>
      </c>
      <c r="K314" s="8" t="s">
        <v>673</v>
      </c>
      <c r="L314" s="8">
        <v>2026</v>
      </c>
    </row>
    <row r="315" spans="1:12">
      <c r="A315" t="s">
        <v>454</v>
      </c>
      <c r="B315" t="s">
        <v>295</v>
      </c>
      <c r="C315" t="s">
        <v>55</v>
      </c>
      <c r="D315" t="s">
        <v>56</v>
      </c>
      <c r="E315">
        <v>3</v>
      </c>
      <c r="F315">
        <v>22179</v>
      </c>
      <c r="G315">
        <f t="shared" si="4"/>
        <v>66537</v>
      </c>
      <c r="H315" t="s">
        <v>74</v>
      </c>
      <c r="I315" s="14" t="s">
        <v>43</v>
      </c>
      <c r="J315" s="1">
        <v>4.9000000000000004</v>
      </c>
      <c r="K315" s="8" t="s">
        <v>675</v>
      </c>
      <c r="L315" s="8">
        <v>2026</v>
      </c>
    </row>
    <row r="316" spans="1:12">
      <c r="A316" t="s">
        <v>455</v>
      </c>
      <c r="B316" t="s">
        <v>86</v>
      </c>
      <c r="C316" t="s">
        <v>26</v>
      </c>
      <c r="D316" s="9" t="s">
        <v>7</v>
      </c>
      <c r="E316">
        <v>4</v>
      </c>
      <c r="F316">
        <v>11275</v>
      </c>
      <c r="G316">
        <f t="shared" si="4"/>
        <v>45100</v>
      </c>
      <c r="H316" t="s">
        <v>64</v>
      </c>
      <c r="I316" s="14" t="s">
        <v>43</v>
      </c>
      <c r="J316" s="1">
        <v>3.6</v>
      </c>
      <c r="K316" s="8" t="s">
        <v>667</v>
      </c>
      <c r="L316" s="8">
        <v>2026</v>
      </c>
    </row>
    <row r="317" spans="1:12">
      <c r="A317" t="s">
        <v>456</v>
      </c>
      <c r="B317" t="s">
        <v>295</v>
      </c>
      <c r="C317" t="s">
        <v>15</v>
      </c>
      <c r="D317" s="9" t="s">
        <v>7</v>
      </c>
      <c r="E317">
        <v>3</v>
      </c>
      <c r="F317">
        <v>18810</v>
      </c>
      <c r="G317">
        <f t="shared" si="4"/>
        <v>56430</v>
      </c>
      <c r="H317" t="s">
        <v>9</v>
      </c>
      <c r="I317" s="14" t="s">
        <v>8</v>
      </c>
      <c r="J317" s="1">
        <v>5</v>
      </c>
      <c r="K317" s="8" t="s">
        <v>673</v>
      </c>
      <c r="L317" s="8">
        <v>2026</v>
      </c>
    </row>
    <row r="318" spans="1:12">
      <c r="A318" t="s">
        <v>457</v>
      </c>
      <c r="B318" t="s">
        <v>295</v>
      </c>
      <c r="C318" t="s">
        <v>16</v>
      </c>
      <c r="D318" t="s">
        <v>14</v>
      </c>
      <c r="E318">
        <v>2</v>
      </c>
      <c r="F318">
        <v>17816</v>
      </c>
      <c r="G318">
        <f t="shared" si="4"/>
        <v>35632</v>
      </c>
      <c r="H318" t="s">
        <v>35</v>
      </c>
      <c r="I318" s="14" t="s">
        <v>65</v>
      </c>
      <c r="J318" s="1">
        <v>4.0999999999999996</v>
      </c>
      <c r="K318" s="8" t="s">
        <v>673</v>
      </c>
      <c r="L318" s="8">
        <v>2026</v>
      </c>
    </row>
    <row r="319" spans="1:12">
      <c r="A319" t="s">
        <v>458</v>
      </c>
      <c r="B319" t="s">
        <v>76</v>
      </c>
      <c r="C319" t="s">
        <v>15</v>
      </c>
      <c r="D319" s="9" t="s">
        <v>7</v>
      </c>
      <c r="E319">
        <v>1</v>
      </c>
      <c r="F319">
        <v>16089</v>
      </c>
      <c r="G319">
        <f t="shared" si="4"/>
        <v>16089</v>
      </c>
      <c r="H319" t="s">
        <v>27</v>
      </c>
      <c r="I319" s="14" t="s">
        <v>65</v>
      </c>
      <c r="J319" s="1">
        <v>3.6</v>
      </c>
      <c r="K319" s="8" t="s">
        <v>663</v>
      </c>
      <c r="L319" s="8">
        <v>2026</v>
      </c>
    </row>
    <row r="320" spans="1:12">
      <c r="A320" t="s">
        <v>459</v>
      </c>
      <c r="B320" t="s">
        <v>135</v>
      </c>
      <c r="C320" t="s">
        <v>10</v>
      </c>
      <c r="D320" t="s">
        <v>11</v>
      </c>
      <c r="E320">
        <v>3</v>
      </c>
      <c r="F320">
        <v>40780</v>
      </c>
      <c r="G320">
        <f t="shared" si="4"/>
        <v>122340</v>
      </c>
      <c r="H320" t="s">
        <v>9</v>
      </c>
      <c r="I320" s="14" t="s">
        <v>43</v>
      </c>
      <c r="J320" s="1">
        <v>3.8</v>
      </c>
      <c r="K320" s="8" t="s">
        <v>663</v>
      </c>
      <c r="L320" s="8">
        <v>2026</v>
      </c>
    </row>
    <row r="321" spans="1:12">
      <c r="A321" t="s">
        <v>460</v>
      </c>
      <c r="B321" t="s">
        <v>104</v>
      </c>
      <c r="C321" t="s">
        <v>15</v>
      </c>
      <c r="D321" s="9" t="s">
        <v>7</v>
      </c>
      <c r="E321">
        <v>1</v>
      </c>
      <c r="F321">
        <v>19006</v>
      </c>
      <c r="G321">
        <f t="shared" si="4"/>
        <v>19006</v>
      </c>
      <c r="H321" t="s">
        <v>74</v>
      </c>
      <c r="I321" s="14" t="s">
        <v>40</v>
      </c>
      <c r="J321" s="1">
        <v>5</v>
      </c>
      <c r="K321" s="8" t="s">
        <v>668</v>
      </c>
      <c r="L321" s="8">
        <v>2026</v>
      </c>
    </row>
    <row r="322" spans="1:12">
      <c r="A322" t="s">
        <v>461</v>
      </c>
      <c r="B322" t="s">
        <v>25</v>
      </c>
      <c r="C322" t="s">
        <v>10</v>
      </c>
      <c r="D322" t="s">
        <v>11</v>
      </c>
      <c r="E322">
        <v>3</v>
      </c>
      <c r="F322">
        <v>45126</v>
      </c>
      <c r="G322">
        <f t="shared" si="4"/>
        <v>135378</v>
      </c>
      <c r="H322" t="s">
        <v>74</v>
      </c>
      <c r="I322" s="14" t="s">
        <v>43</v>
      </c>
      <c r="J322" s="1">
        <v>3.2</v>
      </c>
      <c r="K322" s="8" t="s">
        <v>668</v>
      </c>
      <c r="L322" s="8">
        <v>2026</v>
      </c>
    </row>
    <row r="323" spans="1:12">
      <c r="A323" t="s">
        <v>462</v>
      </c>
      <c r="B323" t="s">
        <v>34</v>
      </c>
      <c r="C323" t="s">
        <v>12</v>
      </c>
      <c r="D323" s="9" t="s">
        <v>7</v>
      </c>
      <c r="E323">
        <v>3</v>
      </c>
      <c r="F323">
        <v>9313</v>
      </c>
      <c r="G323">
        <f t="shared" ref="G323:G386" si="5">SUM(F323*E323)</f>
        <v>27939</v>
      </c>
      <c r="H323" t="s">
        <v>9</v>
      </c>
      <c r="I323" s="14" t="s">
        <v>8</v>
      </c>
      <c r="J323" s="1">
        <v>3.8</v>
      </c>
      <c r="K323" s="8" t="s">
        <v>668</v>
      </c>
      <c r="L323" s="8">
        <v>2026</v>
      </c>
    </row>
    <row r="324" spans="1:12">
      <c r="A324" t="s">
        <v>463</v>
      </c>
      <c r="B324" t="s">
        <v>235</v>
      </c>
      <c r="C324" t="s">
        <v>52</v>
      </c>
      <c r="D324" t="s">
        <v>11</v>
      </c>
      <c r="E324">
        <v>4</v>
      </c>
      <c r="F324">
        <v>7313</v>
      </c>
      <c r="G324">
        <f t="shared" si="5"/>
        <v>29252</v>
      </c>
      <c r="H324" t="s">
        <v>27</v>
      </c>
      <c r="I324" s="14" t="s">
        <v>8</v>
      </c>
      <c r="J324" s="1">
        <v>4.0999999999999996</v>
      </c>
      <c r="K324" s="8" t="s">
        <v>675</v>
      </c>
      <c r="L324" s="8">
        <v>2026</v>
      </c>
    </row>
    <row r="325" spans="1:12">
      <c r="A325" t="s">
        <v>464</v>
      </c>
      <c r="B325" t="s">
        <v>69</v>
      </c>
      <c r="C325" t="s">
        <v>79</v>
      </c>
      <c r="D325" t="s">
        <v>80</v>
      </c>
      <c r="E325">
        <v>5</v>
      </c>
      <c r="F325">
        <v>14042</v>
      </c>
      <c r="G325">
        <f t="shared" si="5"/>
        <v>70210</v>
      </c>
      <c r="H325" t="s">
        <v>27</v>
      </c>
      <c r="I325" s="14" t="s">
        <v>8</v>
      </c>
      <c r="J325" s="1">
        <v>3.7</v>
      </c>
      <c r="K325" s="8" t="s">
        <v>663</v>
      </c>
      <c r="L325" s="8">
        <v>2026</v>
      </c>
    </row>
    <row r="326" spans="1:12">
      <c r="A326" t="s">
        <v>465</v>
      </c>
      <c r="B326" t="s">
        <v>372</v>
      </c>
      <c r="C326" t="s">
        <v>15</v>
      </c>
      <c r="D326" s="9" t="s">
        <v>7</v>
      </c>
      <c r="E326">
        <v>3</v>
      </c>
      <c r="F326">
        <v>24395</v>
      </c>
      <c r="G326">
        <f t="shared" si="5"/>
        <v>73185</v>
      </c>
      <c r="H326" t="s">
        <v>74</v>
      </c>
      <c r="I326" s="14" t="s">
        <v>8</v>
      </c>
      <c r="J326" s="1">
        <v>3.9</v>
      </c>
      <c r="K326" s="8" t="s">
        <v>673</v>
      </c>
      <c r="L326" s="8">
        <v>2026</v>
      </c>
    </row>
    <row r="327" spans="1:12">
      <c r="A327" t="s">
        <v>466</v>
      </c>
      <c r="B327" t="s">
        <v>141</v>
      </c>
      <c r="C327" t="s">
        <v>59</v>
      </c>
      <c r="D327" s="9" t="s">
        <v>7</v>
      </c>
      <c r="E327">
        <v>1</v>
      </c>
      <c r="F327">
        <v>36570</v>
      </c>
      <c r="G327">
        <f t="shared" si="5"/>
        <v>36570</v>
      </c>
      <c r="H327" t="s">
        <v>74</v>
      </c>
      <c r="I327" s="14" t="s">
        <v>40</v>
      </c>
      <c r="J327" s="1">
        <v>4.9000000000000004</v>
      </c>
      <c r="K327" s="8" t="s">
        <v>668</v>
      </c>
      <c r="L327" s="8">
        <v>2026</v>
      </c>
    </row>
    <row r="328" spans="1:12">
      <c r="A328" t="s">
        <v>467</v>
      </c>
      <c r="B328" t="s">
        <v>235</v>
      </c>
      <c r="C328" t="s">
        <v>15</v>
      </c>
      <c r="D328" s="9" t="s">
        <v>7</v>
      </c>
      <c r="E328">
        <v>5</v>
      </c>
      <c r="F328">
        <v>6843</v>
      </c>
      <c r="G328">
        <f t="shared" si="5"/>
        <v>34215</v>
      </c>
      <c r="H328" t="s">
        <v>64</v>
      </c>
      <c r="I328" s="14" t="s">
        <v>40</v>
      </c>
      <c r="J328" s="1">
        <v>4</v>
      </c>
      <c r="K328" s="8" t="s">
        <v>674</v>
      </c>
      <c r="L328" s="8">
        <v>2026</v>
      </c>
    </row>
    <row r="329" spans="1:12">
      <c r="A329" t="s">
        <v>468</v>
      </c>
      <c r="B329" t="s">
        <v>91</v>
      </c>
      <c r="C329" t="s">
        <v>105</v>
      </c>
      <c r="D329" t="s">
        <v>106</v>
      </c>
      <c r="E329">
        <v>3</v>
      </c>
      <c r="F329">
        <v>5228</v>
      </c>
      <c r="G329">
        <f t="shared" si="5"/>
        <v>15684</v>
      </c>
      <c r="H329" t="s">
        <v>74</v>
      </c>
      <c r="I329" s="14" t="s">
        <v>8</v>
      </c>
      <c r="J329" s="1">
        <v>3.8</v>
      </c>
      <c r="K329" s="8" t="s">
        <v>674</v>
      </c>
      <c r="L329" s="8">
        <v>2026</v>
      </c>
    </row>
    <row r="330" spans="1:12">
      <c r="A330" t="s">
        <v>469</v>
      </c>
      <c r="B330" t="s">
        <v>167</v>
      </c>
      <c r="C330" t="s">
        <v>12</v>
      </c>
      <c r="D330" s="9" t="s">
        <v>7</v>
      </c>
      <c r="E330">
        <v>1</v>
      </c>
      <c r="F330">
        <v>49557</v>
      </c>
      <c r="G330">
        <f t="shared" si="5"/>
        <v>49557</v>
      </c>
      <c r="H330" t="s">
        <v>64</v>
      </c>
      <c r="I330" s="14" t="s">
        <v>8</v>
      </c>
      <c r="J330" s="1">
        <v>4.8</v>
      </c>
      <c r="K330" s="8" t="s">
        <v>668</v>
      </c>
      <c r="L330" s="8">
        <v>2026</v>
      </c>
    </row>
    <row r="331" spans="1:12">
      <c r="A331" t="s">
        <v>470</v>
      </c>
      <c r="B331" t="s">
        <v>190</v>
      </c>
      <c r="C331" t="s">
        <v>12</v>
      </c>
      <c r="D331" s="9" t="s">
        <v>7</v>
      </c>
      <c r="E331">
        <v>4</v>
      </c>
      <c r="F331">
        <v>24124</v>
      </c>
      <c r="G331">
        <f t="shared" si="5"/>
        <v>96496</v>
      </c>
      <c r="H331" t="s">
        <v>27</v>
      </c>
      <c r="I331" s="14" t="s">
        <v>43</v>
      </c>
      <c r="J331" s="1">
        <v>3.1</v>
      </c>
      <c r="K331" s="8" t="s">
        <v>671</v>
      </c>
      <c r="L331" s="8">
        <v>2026</v>
      </c>
    </row>
    <row r="332" spans="1:12">
      <c r="A332" t="s">
        <v>471</v>
      </c>
      <c r="B332" t="s">
        <v>71</v>
      </c>
      <c r="C332" t="s">
        <v>10</v>
      </c>
      <c r="D332" t="s">
        <v>11</v>
      </c>
      <c r="E332">
        <v>3</v>
      </c>
      <c r="F332">
        <v>33649</v>
      </c>
      <c r="G332">
        <f t="shared" si="5"/>
        <v>100947</v>
      </c>
      <c r="H332" t="s">
        <v>27</v>
      </c>
      <c r="I332" s="14" t="s">
        <v>65</v>
      </c>
      <c r="J332" s="1">
        <v>3.6</v>
      </c>
      <c r="K332" s="8" t="s">
        <v>673</v>
      </c>
      <c r="L332" s="8">
        <v>2026</v>
      </c>
    </row>
    <row r="333" spans="1:12">
      <c r="A333" t="s">
        <v>472</v>
      </c>
      <c r="B333" t="s">
        <v>167</v>
      </c>
      <c r="C333" t="s">
        <v>55</v>
      </c>
      <c r="D333" t="s">
        <v>56</v>
      </c>
      <c r="E333">
        <v>3</v>
      </c>
      <c r="F333">
        <v>28834</v>
      </c>
      <c r="G333">
        <f t="shared" si="5"/>
        <v>86502</v>
      </c>
      <c r="H333" t="s">
        <v>27</v>
      </c>
      <c r="I333" s="14" t="s">
        <v>65</v>
      </c>
      <c r="J333" s="1">
        <v>3.9</v>
      </c>
      <c r="K333" s="8" t="s">
        <v>668</v>
      </c>
      <c r="L333" s="8">
        <v>2026</v>
      </c>
    </row>
    <row r="334" spans="1:12">
      <c r="A334" t="s">
        <v>473</v>
      </c>
      <c r="B334" t="s">
        <v>193</v>
      </c>
      <c r="C334" t="s">
        <v>55</v>
      </c>
      <c r="D334" t="s">
        <v>56</v>
      </c>
      <c r="E334">
        <v>2</v>
      </c>
      <c r="F334">
        <v>7948</v>
      </c>
      <c r="G334">
        <f t="shared" si="5"/>
        <v>15896</v>
      </c>
      <c r="H334" t="s">
        <v>35</v>
      </c>
      <c r="I334" s="14" t="s">
        <v>40</v>
      </c>
      <c r="J334" s="1">
        <v>3.9</v>
      </c>
      <c r="K334" s="8" t="s">
        <v>670</v>
      </c>
      <c r="L334" s="8">
        <v>2026</v>
      </c>
    </row>
    <row r="335" spans="1:12">
      <c r="A335" t="s">
        <v>474</v>
      </c>
      <c r="B335" t="s">
        <v>144</v>
      </c>
      <c r="C335" t="s">
        <v>10</v>
      </c>
      <c r="D335" t="s">
        <v>11</v>
      </c>
      <c r="E335">
        <v>4</v>
      </c>
      <c r="F335">
        <v>36390</v>
      </c>
      <c r="G335">
        <f t="shared" si="5"/>
        <v>145560</v>
      </c>
      <c r="H335" t="s">
        <v>35</v>
      </c>
      <c r="I335" s="14" t="s">
        <v>30</v>
      </c>
      <c r="J335" s="1">
        <v>3.3</v>
      </c>
      <c r="K335" s="8" t="s">
        <v>668</v>
      </c>
      <c r="L335" s="8">
        <v>2026</v>
      </c>
    </row>
    <row r="336" spans="1:12">
      <c r="A336" t="s">
        <v>475</v>
      </c>
      <c r="B336" t="s">
        <v>39</v>
      </c>
      <c r="C336" t="s">
        <v>52</v>
      </c>
      <c r="D336" t="s">
        <v>11</v>
      </c>
      <c r="E336">
        <v>5</v>
      </c>
      <c r="F336">
        <v>12884</v>
      </c>
      <c r="G336">
        <f t="shared" si="5"/>
        <v>64420</v>
      </c>
      <c r="H336" t="s">
        <v>46</v>
      </c>
      <c r="I336" s="14" t="s">
        <v>65</v>
      </c>
      <c r="J336" s="1">
        <v>3.7</v>
      </c>
      <c r="K336" s="8" t="s">
        <v>670</v>
      </c>
      <c r="L336" s="8">
        <v>2026</v>
      </c>
    </row>
    <row r="337" spans="1:12">
      <c r="A337" t="s">
        <v>476</v>
      </c>
      <c r="B337" t="s">
        <v>144</v>
      </c>
      <c r="C337" t="s">
        <v>79</v>
      </c>
      <c r="D337" t="s">
        <v>80</v>
      </c>
      <c r="E337">
        <v>2</v>
      </c>
      <c r="F337">
        <v>44267</v>
      </c>
      <c r="G337">
        <f t="shared" si="5"/>
        <v>88534</v>
      </c>
      <c r="H337" t="s">
        <v>49</v>
      </c>
      <c r="I337" s="14" t="s">
        <v>30</v>
      </c>
      <c r="J337" s="1">
        <v>4.7</v>
      </c>
      <c r="K337" s="8" t="s">
        <v>668</v>
      </c>
      <c r="L337" s="8">
        <v>2026</v>
      </c>
    </row>
    <row r="338" spans="1:12">
      <c r="A338" t="s">
        <v>477</v>
      </c>
      <c r="B338" t="s">
        <v>34</v>
      </c>
      <c r="C338" t="s">
        <v>13</v>
      </c>
      <c r="D338" t="s">
        <v>14</v>
      </c>
      <c r="E338">
        <v>1</v>
      </c>
      <c r="F338">
        <v>44442</v>
      </c>
      <c r="G338">
        <f t="shared" si="5"/>
        <v>44442</v>
      </c>
      <c r="H338" t="s">
        <v>35</v>
      </c>
      <c r="I338" s="14" t="s">
        <v>30</v>
      </c>
      <c r="J338" s="1">
        <v>4</v>
      </c>
      <c r="K338" s="8" t="s">
        <v>668</v>
      </c>
      <c r="L338" s="8">
        <v>2026</v>
      </c>
    </row>
    <row r="339" spans="1:12">
      <c r="A339" t="s">
        <v>478</v>
      </c>
      <c r="B339" t="s">
        <v>372</v>
      </c>
      <c r="C339" t="s">
        <v>12</v>
      </c>
      <c r="D339" s="9" t="s">
        <v>7</v>
      </c>
      <c r="E339">
        <v>5</v>
      </c>
      <c r="F339">
        <v>28785</v>
      </c>
      <c r="G339">
        <f t="shared" si="5"/>
        <v>143925</v>
      </c>
      <c r="H339" t="s">
        <v>46</v>
      </c>
      <c r="I339" s="14" t="s">
        <v>43</v>
      </c>
      <c r="J339" s="1">
        <v>4.3</v>
      </c>
      <c r="K339" s="8" t="s">
        <v>670</v>
      </c>
      <c r="L339" s="8">
        <v>2026</v>
      </c>
    </row>
    <row r="340" spans="1:12">
      <c r="A340" t="s">
        <v>479</v>
      </c>
      <c r="B340" t="s">
        <v>387</v>
      </c>
      <c r="C340" t="s">
        <v>12</v>
      </c>
      <c r="D340" s="9" t="s">
        <v>7</v>
      </c>
      <c r="E340">
        <v>2</v>
      </c>
      <c r="F340">
        <v>45678</v>
      </c>
      <c r="G340">
        <f t="shared" si="5"/>
        <v>91356</v>
      </c>
      <c r="H340" t="s">
        <v>27</v>
      </c>
      <c r="I340" s="14" t="s">
        <v>30</v>
      </c>
      <c r="J340" s="1">
        <v>5</v>
      </c>
      <c r="K340" s="8" t="s">
        <v>670</v>
      </c>
      <c r="L340" s="8">
        <v>2026</v>
      </c>
    </row>
    <row r="341" spans="1:12">
      <c r="A341" t="s">
        <v>480</v>
      </c>
      <c r="B341" t="s">
        <v>205</v>
      </c>
      <c r="C341" t="s">
        <v>12</v>
      </c>
      <c r="D341" s="9" t="s">
        <v>7</v>
      </c>
      <c r="E341">
        <v>5</v>
      </c>
      <c r="F341">
        <v>11114</v>
      </c>
      <c r="G341">
        <f t="shared" si="5"/>
        <v>55570</v>
      </c>
      <c r="H341" t="s">
        <v>35</v>
      </c>
      <c r="I341" s="14" t="s">
        <v>65</v>
      </c>
      <c r="J341" s="1">
        <v>3.5</v>
      </c>
      <c r="K341" s="8" t="s">
        <v>676</v>
      </c>
      <c r="L341" s="8">
        <v>2026</v>
      </c>
    </row>
    <row r="342" spans="1:12">
      <c r="A342" t="s">
        <v>481</v>
      </c>
      <c r="B342" t="s">
        <v>348</v>
      </c>
      <c r="C342" t="s">
        <v>59</v>
      </c>
      <c r="D342" s="9" t="s">
        <v>7</v>
      </c>
      <c r="E342">
        <v>2</v>
      </c>
      <c r="F342">
        <v>45725</v>
      </c>
      <c r="G342">
        <f t="shared" si="5"/>
        <v>91450</v>
      </c>
      <c r="H342" t="s">
        <v>9</v>
      </c>
      <c r="I342" s="14" t="s">
        <v>8</v>
      </c>
      <c r="J342" s="1">
        <v>3</v>
      </c>
      <c r="K342" s="8" t="s">
        <v>670</v>
      </c>
      <c r="L342" s="8">
        <v>2026</v>
      </c>
    </row>
    <row r="343" spans="1:12">
      <c r="A343" t="s">
        <v>482</v>
      </c>
      <c r="B343" t="s">
        <v>175</v>
      </c>
      <c r="C343" t="s">
        <v>52</v>
      </c>
      <c r="D343" t="s">
        <v>11</v>
      </c>
      <c r="E343">
        <v>4</v>
      </c>
      <c r="F343">
        <v>29147</v>
      </c>
      <c r="G343">
        <f t="shared" si="5"/>
        <v>116588</v>
      </c>
      <c r="H343" t="s">
        <v>27</v>
      </c>
      <c r="I343" s="14" t="s">
        <v>30</v>
      </c>
      <c r="J343" s="1">
        <v>4.5999999999999996</v>
      </c>
      <c r="K343" s="8" t="s">
        <v>670</v>
      </c>
      <c r="L343" s="8">
        <v>2026</v>
      </c>
    </row>
    <row r="344" spans="1:12">
      <c r="A344" t="s">
        <v>483</v>
      </c>
      <c r="B344" t="s">
        <v>114</v>
      </c>
      <c r="C344" t="s">
        <v>26</v>
      </c>
      <c r="D344" s="9" t="s">
        <v>7</v>
      </c>
      <c r="E344">
        <v>3</v>
      </c>
      <c r="F344">
        <v>43376</v>
      </c>
      <c r="G344">
        <f t="shared" si="5"/>
        <v>130128</v>
      </c>
      <c r="H344" t="s">
        <v>49</v>
      </c>
      <c r="I344" s="14" t="s">
        <v>30</v>
      </c>
      <c r="J344" s="1">
        <v>4.2</v>
      </c>
      <c r="K344" s="8" t="s">
        <v>671</v>
      </c>
      <c r="L344" s="8">
        <v>2026</v>
      </c>
    </row>
    <row r="345" spans="1:12">
      <c r="A345" t="s">
        <v>484</v>
      </c>
      <c r="B345" t="s">
        <v>173</v>
      </c>
      <c r="C345" t="s">
        <v>59</v>
      </c>
      <c r="D345" s="9" t="s">
        <v>7</v>
      </c>
      <c r="E345">
        <v>5</v>
      </c>
      <c r="F345">
        <v>12605</v>
      </c>
      <c r="G345">
        <f t="shared" si="5"/>
        <v>63025</v>
      </c>
      <c r="H345" t="s">
        <v>35</v>
      </c>
      <c r="I345" s="14" t="s">
        <v>65</v>
      </c>
      <c r="J345" s="1">
        <v>3.7</v>
      </c>
      <c r="K345" s="8" t="s">
        <v>663</v>
      </c>
      <c r="L345" s="8">
        <v>2026</v>
      </c>
    </row>
    <row r="346" spans="1:12">
      <c r="A346" t="s">
        <v>485</v>
      </c>
      <c r="B346" t="s">
        <v>78</v>
      </c>
      <c r="C346" t="s">
        <v>6</v>
      </c>
      <c r="D346" s="9" t="s">
        <v>7</v>
      </c>
      <c r="E346">
        <v>5</v>
      </c>
      <c r="F346">
        <v>8176</v>
      </c>
      <c r="G346">
        <f t="shared" si="5"/>
        <v>40880</v>
      </c>
      <c r="H346" t="s">
        <v>74</v>
      </c>
      <c r="I346" s="14" t="s">
        <v>43</v>
      </c>
      <c r="J346" s="1">
        <v>4.7</v>
      </c>
      <c r="K346" s="8" t="s">
        <v>663</v>
      </c>
      <c r="L346" s="8">
        <v>2026</v>
      </c>
    </row>
    <row r="347" spans="1:12">
      <c r="A347" t="s">
        <v>486</v>
      </c>
      <c r="B347" t="s">
        <v>104</v>
      </c>
      <c r="C347" t="s">
        <v>16</v>
      </c>
      <c r="D347" t="s">
        <v>14</v>
      </c>
      <c r="E347">
        <v>3</v>
      </c>
      <c r="F347">
        <v>14780</v>
      </c>
      <c r="G347">
        <f t="shared" si="5"/>
        <v>44340</v>
      </c>
      <c r="H347" t="s">
        <v>49</v>
      </c>
      <c r="I347" s="14" t="s">
        <v>8</v>
      </c>
      <c r="J347" s="1">
        <v>4.0999999999999996</v>
      </c>
      <c r="K347" s="8" t="s">
        <v>667</v>
      </c>
      <c r="L347" s="8">
        <v>2026</v>
      </c>
    </row>
    <row r="348" spans="1:12">
      <c r="A348" t="s">
        <v>487</v>
      </c>
      <c r="B348" t="s">
        <v>190</v>
      </c>
      <c r="C348" t="s">
        <v>16</v>
      </c>
      <c r="D348" t="s">
        <v>14</v>
      </c>
      <c r="E348">
        <v>1</v>
      </c>
      <c r="F348">
        <v>2093</v>
      </c>
      <c r="G348">
        <f t="shared" si="5"/>
        <v>2093</v>
      </c>
      <c r="H348" t="s">
        <v>49</v>
      </c>
      <c r="I348" s="14" t="s">
        <v>8</v>
      </c>
      <c r="J348" s="1">
        <v>3.4</v>
      </c>
      <c r="K348" s="8" t="s">
        <v>663</v>
      </c>
      <c r="L348" s="8">
        <v>2026</v>
      </c>
    </row>
    <row r="349" spans="1:12">
      <c r="A349" t="s">
        <v>488</v>
      </c>
      <c r="B349" t="s">
        <v>300</v>
      </c>
      <c r="C349" t="s">
        <v>59</v>
      </c>
      <c r="D349" s="9" t="s">
        <v>7</v>
      </c>
      <c r="E349">
        <v>4</v>
      </c>
      <c r="F349">
        <v>15890</v>
      </c>
      <c r="G349">
        <f t="shared" si="5"/>
        <v>63560</v>
      </c>
      <c r="H349" t="s">
        <v>35</v>
      </c>
      <c r="I349" s="14" t="s">
        <v>40</v>
      </c>
      <c r="J349" s="1">
        <v>4.5999999999999996</v>
      </c>
      <c r="K349" s="8" t="s">
        <v>667</v>
      </c>
      <c r="L349" s="8">
        <v>2026</v>
      </c>
    </row>
    <row r="350" spans="1:12">
      <c r="A350" t="s">
        <v>489</v>
      </c>
      <c r="B350" t="s">
        <v>95</v>
      </c>
      <c r="C350" t="s">
        <v>59</v>
      </c>
      <c r="D350" s="9" t="s">
        <v>7</v>
      </c>
      <c r="E350">
        <v>4</v>
      </c>
      <c r="F350">
        <v>41114</v>
      </c>
      <c r="G350">
        <f t="shared" si="5"/>
        <v>164456</v>
      </c>
      <c r="H350" t="s">
        <v>9</v>
      </c>
      <c r="I350" s="14" t="s">
        <v>65</v>
      </c>
      <c r="J350" s="1">
        <v>3.4</v>
      </c>
      <c r="K350" s="8" t="s">
        <v>675</v>
      </c>
      <c r="L350" s="8">
        <v>2026</v>
      </c>
    </row>
    <row r="351" spans="1:12">
      <c r="A351" t="s">
        <v>490</v>
      </c>
      <c r="B351" t="s">
        <v>102</v>
      </c>
      <c r="C351" t="s">
        <v>13</v>
      </c>
      <c r="D351" t="s">
        <v>14</v>
      </c>
      <c r="E351">
        <v>3</v>
      </c>
      <c r="F351">
        <v>26102</v>
      </c>
      <c r="G351">
        <f t="shared" si="5"/>
        <v>78306</v>
      </c>
      <c r="H351" t="s">
        <v>9</v>
      </c>
      <c r="I351" s="14" t="s">
        <v>65</v>
      </c>
      <c r="J351" s="1">
        <v>3.9</v>
      </c>
      <c r="K351" s="8" t="s">
        <v>676</v>
      </c>
      <c r="L351" s="8">
        <v>2026</v>
      </c>
    </row>
    <row r="352" spans="1:12">
      <c r="A352" t="s">
        <v>491</v>
      </c>
      <c r="B352" t="s">
        <v>37</v>
      </c>
      <c r="C352" t="s">
        <v>59</v>
      </c>
      <c r="D352" s="9" t="s">
        <v>7</v>
      </c>
      <c r="E352">
        <v>5</v>
      </c>
      <c r="F352">
        <v>41794</v>
      </c>
      <c r="G352">
        <f t="shared" si="5"/>
        <v>208970</v>
      </c>
      <c r="H352" t="s">
        <v>46</v>
      </c>
      <c r="I352" s="14" t="s">
        <v>43</v>
      </c>
      <c r="J352" s="1">
        <v>3.5</v>
      </c>
      <c r="K352" s="8" t="s">
        <v>675</v>
      </c>
      <c r="L352" s="8">
        <v>2026</v>
      </c>
    </row>
    <row r="353" spans="1:12">
      <c r="A353" t="s">
        <v>492</v>
      </c>
      <c r="B353" t="s">
        <v>264</v>
      </c>
      <c r="C353" t="s">
        <v>12</v>
      </c>
      <c r="D353" s="9" t="s">
        <v>7</v>
      </c>
      <c r="E353">
        <v>2</v>
      </c>
      <c r="F353">
        <v>34991</v>
      </c>
      <c r="G353">
        <f t="shared" si="5"/>
        <v>69982</v>
      </c>
      <c r="H353" t="s">
        <v>27</v>
      </c>
      <c r="I353" s="14" t="s">
        <v>8</v>
      </c>
      <c r="J353" s="1">
        <v>4.0999999999999996</v>
      </c>
      <c r="K353" s="8" t="s">
        <v>676</v>
      </c>
      <c r="L353" s="8">
        <v>2026</v>
      </c>
    </row>
    <row r="354" spans="1:12">
      <c r="A354" t="s">
        <v>493</v>
      </c>
      <c r="B354" t="s">
        <v>95</v>
      </c>
      <c r="C354" t="s">
        <v>52</v>
      </c>
      <c r="D354" t="s">
        <v>11</v>
      </c>
      <c r="E354">
        <v>2</v>
      </c>
      <c r="F354">
        <v>23233</v>
      </c>
      <c r="G354">
        <f t="shared" si="5"/>
        <v>46466</v>
      </c>
      <c r="H354" t="s">
        <v>74</v>
      </c>
      <c r="I354" s="14" t="s">
        <v>30</v>
      </c>
      <c r="J354" s="1">
        <v>4.8</v>
      </c>
      <c r="K354" s="8" t="s">
        <v>663</v>
      </c>
      <c r="L354" s="8">
        <v>2026</v>
      </c>
    </row>
    <row r="355" spans="1:12">
      <c r="A355" t="s">
        <v>494</v>
      </c>
      <c r="B355" t="s">
        <v>264</v>
      </c>
      <c r="C355" t="s">
        <v>13</v>
      </c>
      <c r="D355" t="s">
        <v>14</v>
      </c>
      <c r="E355">
        <v>5</v>
      </c>
      <c r="F355">
        <v>41762</v>
      </c>
      <c r="G355">
        <f t="shared" si="5"/>
        <v>208810</v>
      </c>
      <c r="H355" t="s">
        <v>64</v>
      </c>
      <c r="I355" s="14" t="s">
        <v>65</v>
      </c>
      <c r="J355" s="1">
        <v>3.1</v>
      </c>
      <c r="K355" s="8" t="s">
        <v>669</v>
      </c>
      <c r="L355" s="8">
        <v>2026</v>
      </c>
    </row>
    <row r="356" spans="1:12">
      <c r="A356" t="s">
        <v>495</v>
      </c>
      <c r="B356" t="s">
        <v>39</v>
      </c>
      <c r="C356" t="s">
        <v>12</v>
      </c>
      <c r="D356" s="9" t="s">
        <v>7</v>
      </c>
      <c r="E356">
        <v>4</v>
      </c>
      <c r="F356">
        <v>24608</v>
      </c>
      <c r="G356">
        <f t="shared" si="5"/>
        <v>98432</v>
      </c>
      <c r="H356" t="s">
        <v>27</v>
      </c>
      <c r="I356" s="14" t="s">
        <v>8</v>
      </c>
      <c r="J356" s="1">
        <v>3.2</v>
      </c>
      <c r="K356" s="8" t="s">
        <v>675</v>
      </c>
      <c r="L356" s="8">
        <v>2026</v>
      </c>
    </row>
    <row r="357" spans="1:12">
      <c r="A357" t="s">
        <v>496</v>
      </c>
      <c r="B357" t="s">
        <v>150</v>
      </c>
      <c r="C357" t="s">
        <v>12</v>
      </c>
      <c r="D357" s="9" t="s">
        <v>7</v>
      </c>
      <c r="E357">
        <v>5</v>
      </c>
      <c r="F357">
        <v>30407</v>
      </c>
      <c r="G357">
        <f t="shared" si="5"/>
        <v>152035</v>
      </c>
      <c r="H357" t="s">
        <v>64</v>
      </c>
      <c r="I357" s="14" t="s">
        <v>40</v>
      </c>
      <c r="J357" s="1">
        <v>4.9000000000000004</v>
      </c>
      <c r="K357" s="8" t="s">
        <v>667</v>
      </c>
      <c r="L357" s="8">
        <v>2026</v>
      </c>
    </row>
    <row r="358" spans="1:12">
      <c r="A358" t="s">
        <v>497</v>
      </c>
      <c r="B358" t="s">
        <v>193</v>
      </c>
      <c r="C358" t="s">
        <v>52</v>
      </c>
      <c r="D358" t="s">
        <v>11</v>
      </c>
      <c r="E358">
        <v>5</v>
      </c>
      <c r="F358">
        <v>47263</v>
      </c>
      <c r="G358">
        <f t="shared" si="5"/>
        <v>236315</v>
      </c>
      <c r="H358" t="s">
        <v>74</v>
      </c>
      <c r="I358" s="14" t="s">
        <v>43</v>
      </c>
      <c r="J358" s="1">
        <v>4.2</v>
      </c>
      <c r="K358" s="8" t="s">
        <v>667</v>
      </c>
      <c r="L358" s="8">
        <v>2026</v>
      </c>
    </row>
    <row r="359" spans="1:12">
      <c r="A359" t="s">
        <v>498</v>
      </c>
      <c r="B359" t="s">
        <v>170</v>
      </c>
      <c r="C359" t="s">
        <v>79</v>
      </c>
      <c r="D359" t="s">
        <v>80</v>
      </c>
      <c r="E359">
        <v>5</v>
      </c>
      <c r="F359">
        <v>41861</v>
      </c>
      <c r="G359">
        <f t="shared" si="5"/>
        <v>209305</v>
      </c>
      <c r="H359" t="s">
        <v>27</v>
      </c>
      <c r="I359" s="14" t="s">
        <v>43</v>
      </c>
      <c r="J359" s="1">
        <v>4.5999999999999996</v>
      </c>
      <c r="K359" s="8" t="s">
        <v>674</v>
      </c>
      <c r="L359" s="8">
        <v>2026</v>
      </c>
    </row>
    <row r="360" spans="1:12">
      <c r="A360" t="s">
        <v>499</v>
      </c>
      <c r="B360" t="s">
        <v>264</v>
      </c>
      <c r="C360" t="s">
        <v>16</v>
      </c>
      <c r="D360" t="s">
        <v>14</v>
      </c>
      <c r="E360">
        <v>5</v>
      </c>
      <c r="F360">
        <v>15652</v>
      </c>
      <c r="G360">
        <f t="shared" si="5"/>
        <v>78260</v>
      </c>
      <c r="H360" t="s">
        <v>74</v>
      </c>
      <c r="I360" s="14" t="s">
        <v>65</v>
      </c>
      <c r="J360" s="1">
        <v>4.7</v>
      </c>
      <c r="K360" s="8" t="s">
        <v>675</v>
      </c>
      <c r="L360" s="8">
        <v>2026</v>
      </c>
    </row>
    <row r="361" spans="1:12">
      <c r="A361" t="s">
        <v>500</v>
      </c>
      <c r="B361" t="s">
        <v>93</v>
      </c>
      <c r="C361" t="s">
        <v>52</v>
      </c>
      <c r="D361" t="s">
        <v>11</v>
      </c>
      <c r="E361">
        <v>4</v>
      </c>
      <c r="F361">
        <v>10707</v>
      </c>
      <c r="G361">
        <f t="shared" si="5"/>
        <v>42828</v>
      </c>
      <c r="H361" t="s">
        <v>46</v>
      </c>
      <c r="I361" s="14" t="s">
        <v>40</v>
      </c>
      <c r="J361" s="1">
        <v>3.3</v>
      </c>
      <c r="K361" s="8" t="s">
        <v>673</v>
      </c>
      <c r="L361" s="8">
        <v>2026</v>
      </c>
    </row>
    <row r="362" spans="1:12">
      <c r="A362" t="s">
        <v>501</v>
      </c>
      <c r="B362" t="s">
        <v>372</v>
      </c>
      <c r="C362" t="s">
        <v>105</v>
      </c>
      <c r="D362" t="s">
        <v>106</v>
      </c>
      <c r="E362">
        <v>4</v>
      </c>
      <c r="F362">
        <v>5204</v>
      </c>
      <c r="G362">
        <f t="shared" si="5"/>
        <v>20816</v>
      </c>
      <c r="H362" t="s">
        <v>27</v>
      </c>
      <c r="I362" s="14" t="s">
        <v>40</v>
      </c>
      <c r="J362" s="1">
        <v>3.5</v>
      </c>
      <c r="K362" s="8" t="s">
        <v>674</v>
      </c>
      <c r="L362" s="8">
        <v>2026</v>
      </c>
    </row>
    <row r="363" spans="1:12">
      <c r="A363" t="s">
        <v>502</v>
      </c>
      <c r="B363" t="s">
        <v>199</v>
      </c>
      <c r="C363" t="s">
        <v>79</v>
      </c>
      <c r="D363" t="s">
        <v>80</v>
      </c>
      <c r="E363">
        <v>4</v>
      </c>
      <c r="F363">
        <v>12001</v>
      </c>
      <c r="G363">
        <f t="shared" si="5"/>
        <v>48004</v>
      </c>
      <c r="H363" t="s">
        <v>9</v>
      </c>
      <c r="I363" s="14" t="s">
        <v>30</v>
      </c>
      <c r="J363" s="1">
        <v>4.2</v>
      </c>
      <c r="K363" s="8" t="s">
        <v>673</v>
      </c>
      <c r="L363" s="8">
        <v>2026</v>
      </c>
    </row>
    <row r="364" spans="1:12">
      <c r="A364" t="s">
        <v>503</v>
      </c>
      <c r="B364" t="s">
        <v>112</v>
      </c>
      <c r="C364" t="s">
        <v>10</v>
      </c>
      <c r="D364" t="s">
        <v>11</v>
      </c>
      <c r="E364">
        <v>5</v>
      </c>
      <c r="F364">
        <v>30365</v>
      </c>
      <c r="G364">
        <f t="shared" si="5"/>
        <v>151825</v>
      </c>
      <c r="H364" t="s">
        <v>35</v>
      </c>
      <c r="I364" s="14" t="s">
        <v>40</v>
      </c>
      <c r="J364" s="1">
        <v>3.4</v>
      </c>
      <c r="K364" s="8" t="s">
        <v>676</v>
      </c>
      <c r="L364" s="8">
        <v>2026</v>
      </c>
    </row>
    <row r="365" spans="1:12">
      <c r="A365" t="s">
        <v>504</v>
      </c>
      <c r="B365" t="s">
        <v>84</v>
      </c>
      <c r="C365" t="s">
        <v>105</v>
      </c>
      <c r="D365" t="s">
        <v>106</v>
      </c>
      <c r="E365">
        <v>4</v>
      </c>
      <c r="F365">
        <v>11361</v>
      </c>
      <c r="G365">
        <f t="shared" si="5"/>
        <v>45444</v>
      </c>
      <c r="H365" t="s">
        <v>49</v>
      </c>
      <c r="I365" s="14" t="s">
        <v>43</v>
      </c>
      <c r="J365" s="1">
        <v>3</v>
      </c>
      <c r="K365" s="8" t="s">
        <v>676</v>
      </c>
      <c r="L365" s="8">
        <v>2026</v>
      </c>
    </row>
    <row r="366" spans="1:12">
      <c r="A366" t="s">
        <v>505</v>
      </c>
      <c r="B366" t="s">
        <v>178</v>
      </c>
      <c r="C366" t="s">
        <v>15</v>
      </c>
      <c r="D366" s="9" t="s">
        <v>7</v>
      </c>
      <c r="E366">
        <v>2</v>
      </c>
      <c r="F366">
        <v>40679</v>
      </c>
      <c r="G366">
        <f t="shared" si="5"/>
        <v>81358</v>
      </c>
      <c r="H366" t="s">
        <v>35</v>
      </c>
      <c r="I366" s="14" t="s">
        <v>65</v>
      </c>
      <c r="J366" s="1">
        <v>4.5</v>
      </c>
      <c r="K366" s="8" t="s">
        <v>675</v>
      </c>
      <c r="L366" s="8">
        <v>2026</v>
      </c>
    </row>
    <row r="367" spans="1:12">
      <c r="A367" t="s">
        <v>506</v>
      </c>
      <c r="B367" t="s">
        <v>51</v>
      </c>
      <c r="C367" t="s">
        <v>52</v>
      </c>
      <c r="D367" t="s">
        <v>11</v>
      </c>
      <c r="E367">
        <v>1</v>
      </c>
      <c r="F367">
        <v>22600</v>
      </c>
      <c r="G367">
        <f t="shared" si="5"/>
        <v>22600</v>
      </c>
      <c r="H367" t="s">
        <v>74</v>
      </c>
      <c r="I367" s="14" t="s">
        <v>40</v>
      </c>
      <c r="J367" s="1">
        <v>4.7</v>
      </c>
      <c r="K367" s="8" t="s">
        <v>663</v>
      </c>
      <c r="L367" s="8">
        <v>2026</v>
      </c>
    </row>
    <row r="368" spans="1:12">
      <c r="A368" t="s">
        <v>507</v>
      </c>
      <c r="B368" t="s">
        <v>264</v>
      </c>
      <c r="C368" t="s">
        <v>16</v>
      </c>
      <c r="D368" t="s">
        <v>14</v>
      </c>
      <c r="E368">
        <v>2</v>
      </c>
      <c r="F368">
        <v>37047</v>
      </c>
      <c r="G368">
        <f t="shared" si="5"/>
        <v>74094</v>
      </c>
      <c r="H368" t="s">
        <v>35</v>
      </c>
      <c r="I368" s="14" t="s">
        <v>8</v>
      </c>
      <c r="J368" s="1">
        <v>4</v>
      </c>
      <c r="K368" s="8" t="s">
        <v>663</v>
      </c>
      <c r="L368" s="8">
        <v>2026</v>
      </c>
    </row>
    <row r="369" spans="1:12">
      <c r="A369" t="s">
        <v>508</v>
      </c>
      <c r="B369" t="s">
        <v>219</v>
      </c>
      <c r="C369" t="s">
        <v>26</v>
      </c>
      <c r="D369" s="9" t="s">
        <v>7</v>
      </c>
      <c r="E369">
        <v>3</v>
      </c>
      <c r="F369">
        <v>47485</v>
      </c>
      <c r="G369">
        <f t="shared" si="5"/>
        <v>142455</v>
      </c>
      <c r="H369" t="s">
        <v>74</v>
      </c>
      <c r="I369" s="14" t="s">
        <v>8</v>
      </c>
      <c r="J369" s="1">
        <v>4.4000000000000004</v>
      </c>
      <c r="K369" s="8" t="s">
        <v>676</v>
      </c>
      <c r="L369" s="8">
        <v>2026</v>
      </c>
    </row>
    <row r="370" spans="1:12">
      <c r="A370" t="s">
        <v>509</v>
      </c>
      <c r="B370" t="s">
        <v>293</v>
      </c>
      <c r="C370" t="s">
        <v>13</v>
      </c>
      <c r="D370" t="s">
        <v>14</v>
      </c>
      <c r="E370">
        <v>1</v>
      </c>
      <c r="F370">
        <v>5092</v>
      </c>
      <c r="G370">
        <f t="shared" si="5"/>
        <v>5092</v>
      </c>
      <c r="H370" t="s">
        <v>27</v>
      </c>
      <c r="I370" s="14" t="s">
        <v>40</v>
      </c>
      <c r="J370" s="1">
        <v>4.7</v>
      </c>
      <c r="K370" s="8" t="s">
        <v>663</v>
      </c>
      <c r="L370" s="8">
        <v>2026</v>
      </c>
    </row>
    <row r="371" spans="1:12">
      <c r="A371" t="s">
        <v>510</v>
      </c>
      <c r="B371" t="s">
        <v>376</v>
      </c>
      <c r="C371" t="s">
        <v>52</v>
      </c>
      <c r="D371" t="s">
        <v>11</v>
      </c>
      <c r="E371">
        <v>4</v>
      </c>
      <c r="F371">
        <v>36764</v>
      </c>
      <c r="G371">
        <f t="shared" si="5"/>
        <v>147056</v>
      </c>
      <c r="H371" t="s">
        <v>46</v>
      </c>
      <c r="I371" s="14" t="s">
        <v>8</v>
      </c>
      <c r="J371" s="1">
        <v>4</v>
      </c>
      <c r="K371" s="8" t="s">
        <v>663</v>
      </c>
      <c r="L371" s="8">
        <v>2026</v>
      </c>
    </row>
    <row r="372" spans="1:12">
      <c r="A372" t="s">
        <v>511</v>
      </c>
      <c r="B372" t="s">
        <v>223</v>
      </c>
      <c r="C372" t="s">
        <v>105</v>
      </c>
      <c r="D372" t="s">
        <v>106</v>
      </c>
      <c r="E372">
        <v>2</v>
      </c>
      <c r="F372">
        <v>34613</v>
      </c>
      <c r="G372">
        <f t="shared" si="5"/>
        <v>69226</v>
      </c>
      <c r="H372" t="s">
        <v>27</v>
      </c>
      <c r="I372" s="14" t="s">
        <v>43</v>
      </c>
      <c r="J372" s="1">
        <v>3.6</v>
      </c>
      <c r="K372" s="8" t="s">
        <v>676</v>
      </c>
      <c r="L372" s="8">
        <v>2026</v>
      </c>
    </row>
    <row r="373" spans="1:12">
      <c r="A373" t="s">
        <v>512</v>
      </c>
      <c r="B373" t="s">
        <v>150</v>
      </c>
      <c r="C373" t="s">
        <v>55</v>
      </c>
      <c r="D373" t="s">
        <v>56</v>
      </c>
      <c r="E373">
        <v>3</v>
      </c>
      <c r="F373">
        <v>27936</v>
      </c>
      <c r="G373">
        <f t="shared" si="5"/>
        <v>83808</v>
      </c>
      <c r="H373" t="s">
        <v>74</v>
      </c>
      <c r="I373" s="14" t="s">
        <v>65</v>
      </c>
      <c r="J373" s="1">
        <v>4.4000000000000004</v>
      </c>
      <c r="K373" s="8" t="s">
        <v>668</v>
      </c>
      <c r="L373" s="8">
        <v>2026</v>
      </c>
    </row>
    <row r="374" spans="1:12">
      <c r="A374" t="s">
        <v>513</v>
      </c>
      <c r="B374" t="s">
        <v>205</v>
      </c>
      <c r="C374" t="s">
        <v>52</v>
      </c>
      <c r="D374" t="s">
        <v>11</v>
      </c>
      <c r="E374">
        <v>2</v>
      </c>
      <c r="F374">
        <v>2947</v>
      </c>
      <c r="G374">
        <f t="shared" si="5"/>
        <v>5894</v>
      </c>
      <c r="H374" t="s">
        <v>35</v>
      </c>
      <c r="I374" s="14" t="s">
        <v>40</v>
      </c>
      <c r="J374" s="1">
        <v>3.5</v>
      </c>
      <c r="K374" s="8" t="s">
        <v>668</v>
      </c>
      <c r="L374" s="8">
        <v>2026</v>
      </c>
    </row>
    <row r="375" spans="1:12">
      <c r="A375" t="s">
        <v>514</v>
      </c>
      <c r="B375" t="s">
        <v>193</v>
      </c>
      <c r="C375" t="s">
        <v>6</v>
      </c>
      <c r="D375" s="9" t="s">
        <v>7</v>
      </c>
      <c r="E375">
        <v>2</v>
      </c>
      <c r="F375">
        <v>49984</v>
      </c>
      <c r="G375">
        <f t="shared" si="5"/>
        <v>99968</v>
      </c>
      <c r="H375" t="s">
        <v>9</v>
      </c>
      <c r="I375" s="14" t="s">
        <v>43</v>
      </c>
      <c r="J375" s="1">
        <v>3.6</v>
      </c>
      <c r="K375" s="8" t="s">
        <v>676</v>
      </c>
      <c r="L375" s="8">
        <v>2026</v>
      </c>
    </row>
    <row r="376" spans="1:12">
      <c r="A376" t="s">
        <v>515</v>
      </c>
      <c r="B376" t="s">
        <v>257</v>
      </c>
      <c r="C376" t="s">
        <v>10</v>
      </c>
      <c r="D376" t="s">
        <v>11</v>
      </c>
      <c r="E376">
        <v>2</v>
      </c>
      <c r="F376">
        <v>25260</v>
      </c>
      <c r="G376">
        <f t="shared" si="5"/>
        <v>50520</v>
      </c>
      <c r="H376" t="s">
        <v>46</v>
      </c>
      <c r="I376" s="14" t="s">
        <v>30</v>
      </c>
      <c r="J376" s="1">
        <v>4.8</v>
      </c>
      <c r="K376" s="8" t="s">
        <v>674</v>
      </c>
      <c r="L376" s="8">
        <v>2026</v>
      </c>
    </row>
    <row r="377" spans="1:12">
      <c r="A377" t="s">
        <v>516</v>
      </c>
      <c r="B377" t="s">
        <v>273</v>
      </c>
      <c r="C377" t="s">
        <v>79</v>
      </c>
      <c r="D377" t="s">
        <v>80</v>
      </c>
      <c r="E377">
        <v>5</v>
      </c>
      <c r="F377">
        <v>21586</v>
      </c>
      <c r="G377">
        <f t="shared" si="5"/>
        <v>107930</v>
      </c>
      <c r="H377" t="s">
        <v>64</v>
      </c>
      <c r="I377" s="14" t="s">
        <v>65</v>
      </c>
      <c r="J377" s="1">
        <v>3.6</v>
      </c>
      <c r="K377" s="8" t="s">
        <v>668</v>
      </c>
      <c r="L377" s="8">
        <v>2026</v>
      </c>
    </row>
    <row r="378" spans="1:12">
      <c r="A378" t="s">
        <v>517</v>
      </c>
      <c r="B378" t="s">
        <v>34</v>
      </c>
      <c r="C378" t="s">
        <v>10</v>
      </c>
      <c r="D378" t="s">
        <v>11</v>
      </c>
      <c r="E378">
        <v>5</v>
      </c>
      <c r="F378">
        <v>5539</v>
      </c>
      <c r="G378">
        <f t="shared" si="5"/>
        <v>27695</v>
      </c>
      <c r="H378" t="s">
        <v>64</v>
      </c>
      <c r="I378" s="14" t="s">
        <v>8</v>
      </c>
      <c r="J378" s="1">
        <v>3.4</v>
      </c>
      <c r="K378" s="8" t="s">
        <v>673</v>
      </c>
      <c r="L378" s="8">
        <v>2026</v>
      </c>
    </row>
    <row r="379" spans="1:12">
      <c r="A379" t="s">
        <v>518</v>
      </c>
      <c r="B379" t="s">
        <v>320</v>
      </c>
      <c r="C379" t="s">
        <v>12</v>
      </c>
      <c r="D379" s="9" t="s">
        <v>7</v>
      </c>
      <c r="E379">
        <v>2</v>
      </c>
      <c r="F379">
        <v>21390</v>
      </c>
      <c r="G379">
        <f t="shared" si="5"/>
        <v>42780</v>
      </c>
      <c r="H379" t="s">
        <v>35</v>
      </c>
      <c r="I379" s="14" t="s">
        <v>43</v>
      </c>
      <c r="J379" s="1">
        <v>3.7</v>
      </c>
      <c r="K379" s="8" t="s">
        <v>663</v>
      </c>
      <c r="L379" s="8">
        <v>2026</v>
      </c>
    </row>
    <row r="380" spans="1:12">
      <c r="A380" t="s">
        <v>519</v>
      </c>
      <c r="B380" t="s">
        <v>520</v>
      </c>
      <c r="C380" t="s">
        <v>59</v>
      </c>
      <c r="D380" s="9" t="s">
        <v>7</v>
      </c>
      <c r="E380">
        <v>4</v>
      </c>
      <c r="F380">
        <v>19163</v>
      </c>
      <c r="G380">
        <f t="shared" si="5"/>
        <v>76652</v>
      </c>
      <c r="H380" t="s">
        <v>46</v>
      </c>
      <c r="I380" s="14" t="s">
        <v>40</v>
      </c>
      <c r="J380" s="1">
        <v>4.9000000000000004</v>
      </c>
      <c r="K380" s="8" t="s">
        <v>670</v>
      </c>
      <c r="L380" s="8">
        <v>2026</v>
      </c>
    </row>
    <row r="381" spans="1:12">
      <c r="A381" t="s">
        <v>521</v>
      </c>
      <c r="B381" t="s">
        <v>102</v>
      </c>
      <c r="C381" t="s">
        <v>105</v>
      </c>
      <c r="D381" t="s">
        <v>106</v>
      </c>
      <c r="E381">
        <v>4</v>
      </c>
      <c r="F381">
        <v>4623</v>
      </c>
      <c r="G381">
        <f t="shared" si="5"/>
        <v>18492</v>
      </c>
      <c r="H381" t="s">
        <v>64</v>
      </c>
      <c r="I381" s="14" t="s">
        <v>8</v>
      </c>
      <c r="J381" s="1">
        <v>4.5999999999999996</v>
      </c>
      <c r="K381" s="8" t="s">
        <v>676</v>
      </c>
      <c r="L381" s="8">
        <v>2026</v>
      </c>
    </row>
    <row r="382" spans="1:12">
      <c r="A382" t="s">
        <v>522</v>
      </c>
      <c r="B382" t="s">
        <v>73</v>
      </c>
      <c r="C382" t="s">
        <v>26</v>
      </c>
      <c r="D382" s="9" t="s">
        <v>7</v>
      </c>
      <c r="E382">
        <v>3</v>
      </c>
      <c r="F382">
        <v>42332</v>
      </c>
      <c r="G382">
        <f t="shared" si="5"/>
        <v>126996</v>
      </c>
      <c r="H382" t="s">
        <v>49</v>
      </c>
      <c r="I382" s="14" t="s">
        <v>30</v>
      </c>
      <c r="J382" s="1">
        <v>4.8</v>
      </c>
      <c r="K382" s="8" t="s">
        <v>673</v>
      </c>
      <c r="L382" s="8">
        <v>2026</v>
      </c>
    </row>
    <row r="383" spans="1:12">
      <c r="A383" t="s">
        <v>523</v>
      </c>
      <c r="B383" t="s">
        <v>273</v>
      </c>
      <c r="C383" t="s">
        <v>13</v>
      </c>
      <c r="D383" t="s">
        <v>14</v>
      </c>
      <c r="E383">
        <v>2</v>
      </c>
      <c r="F383">
        <v>39661</v>
      </c>
      <c r="G383">
        <f t="shared" si="5"/>
        <v>79322</v>
      </c>
      <c r="H383" t="s">
        <v>74</v>
      </c>
      <c r="I383" s="14" t="s">
        <v>40</v>
      </c>
      <c r="J383" s="1">
        <v>4</v>
      </c>
      <c r="K383" s="8" t="s">
        <v>668</v>
      </c>
      <c r="L383" s="8">
        <v>2026</v>
      </c>
    </row>
    <row r="384" spans="1:12">
      <c r="A384" t="s">
        <v>524</v>
      </c>
      <c r="B384" t="s">
        <v>376</v>
      </c>
      <c r="C384" t="s">
        <v>10</v>
      </c>
      <c r="D384" t="s">
        <v>11</v>
      </c>
      <c r="E384">
        <v>4</v>
      </c>
      <c r="F384">
        <v>45991</v>
      </c>
      <c r="G384">
        <f t="shared" si="5"/>
        <v>183964</v>
      </c>
      <c r="H384" t="s">
        <v>74</v>
      </c>
      <c r="I384" s="14" t="s">
        <v>30</v>
      </c>
      <c r="J384" s="1">
        <v>3.1</v>
      </c>
      <c r="K384" s="8" t="s">
        <v>668</v>
      </c>
      <c r="L384" s="8">
        <v>2026</v>
      </c>
    </row>
    <row r="385" spans="1:12">
      <c r="A385" t="s">
        <v>525</v>
      </c>
      <c r="B385" t="s">
        <v>155</v>
      </c>
      <c r="C385" t="s">
        <v>26</v>
      </c>
      <c r="D385" s="9" t="s">
        <v>7</v>
      </c>
      <c r="E385">
        <v>4</v>
      </c>
      <c r="F385">
        <v>44565</v>
      </c>
      <c r="G385">
        <f t="shared" si="5"/>
        <v>178260</v>
      </c>
      <c r="H385" t="s">
        <v>27</v>
      </c>
      <c r="I385" s="14" t="s">
        <v>40</v>
      </c>
      <c r="J385" s="1">
        <v>4.2</v>
      </c>
      <c r="K385" s="8" t="s">
        <v>663</v>
      </c>
      <c r="L385" s="8">
        <v>2026</v>
      </c>
    </row>
    <row r="386" spans="1:12">
      <c r="A386" t="s">
        <v>526</v>
      </c>
      <c r="B386" t="s">
        <v>147</v>
      </c>
      <c r="C386" t="s">
        <v>105</v>
      </c>
      <c r="D386" t="s">
        <v>106</v>
      </c>
      <c r="E386">
        <v>4</v>
      </c>
      <c r="F386">
        <v>38135</v>
      </c>
      <c r="G386">
        <f t="shared" si="5"/>
        <v>152540</v>
      </c>
      <c r="H386" t="s">
        <v>9</v>
      </c>
      <c r="I386" s="14" t="s">
        <v>40</v>
      </c>
      <c r="J386" s="1">
        <v>3.2</v>
      </c>
      <c r="K386" s="8" t="s">
        <v>669</v>
      </c>
      <c r="L386" s="8">
        <v>2026</v>
      </c>
    </row>
    <row r="387" spans="1:12">
      <c r="A387" t="s">
        <v>527</v>
      </c>
      <c r="B387" t="s">
        <v>71</v>
      </c>
      <c r="C387" t="s">
        <v>13</v>
      </c>
      <c r="D387" t="s">
        <v>14</v>
      </c>
      <c r="E387">
        <v>1</v>
      </c>
      <c r="F387">
        <v>3349</v>
      </c>
      <c r="G387">
        <f t="shared" ref="G387:G450" si="6">SUM(F387*E387)</f>
        <v>3349</v>
      </c>
      <c r="H387" t="s">
        <v>9</v>
      </c>
      <c r="I387" s="14" t="s">
        <v>8</v>
      </c>
      <c r="J387" s="1">
        <v>4.2</v>
      </c>
      <c r="K387" s="8" t="s">
        <v>670</v>
      </c>
      <c r="L387" s="8">
        <v>2026</v>
      </c>
    </row>
    <row r="388" spans="1:12">
      <c r="A388" t="s">
        <v>528</v>
      </c>
      <c r="B388" t="s">
        <v>119</v>
      </c>
      <c r="C388" t="s">
        <v>26</v>
      </c>
      <c r="D388" s="9" t="s">
        <v>7</v>
      </c>
      <c r="E388">
        <v>4</v>
      </c>
      <c r="F388">
        <v>14680</v>
      </c>
      <c r="G388">
        <f t="shared" si="6"/>
        <v>58720</v>
      </c>
      <c r="H388" t="s">
        <v>49</v>
      </c>
      <c r="I388" s="14" t="s">
        <v>30</v>
      </c>
      <c r="J388" s="1">
        <v>4.2</v>
      </c>
      <c r="K388" s="8" t="s">
        <v>671</v>
      </c>
      <c r="L388" s="8">
        <v>2026</v>
      </c>
    </row>
    <row r="389" spans="1:12">
      <c r="A389" t="s">
        <v>529</v>
      </c>
      <c r="B389" t="s">
        <v>58</v>
      </c>
      <c r="C389" t="s">
        <v>15</v>
      </c>
      <c r="D389" s="9" t="s">
        <v>7</v>
      </c>
      <c r="E389">
        <v>2</v>
      </c>
      <c r="F389">
        <v>36386</v>
      </c>
      <c r="G389">
        <f t="shared" si="6"/>
        <v>72772</v>
      </c>
      <c r="H389" t="s">
        <v>27</v>
      </c>
      <c r="I389" s="14" t="s">
        <v>30</v>
      </c>
      <c r="J389" s="1">
        <v>4</v>
      </c>
      <c r="K389" s="8" t="s">
        <v>669</v>
      </c>
      <c r="L389" s="8">
        <v>2026</v>
      </c>
    </row>
    <row r="390" spans="1:12">
      <c r="A390" t="s">
        <v>530</v>
      </c>
      <c r="B390" t="s">
        <v>114</v>
      </c>
      <c r="C390" t="s">
        <v>12</v>
      </c>
      <c r="D390" s="9" t="s">
        <v>7</v>
      </c>
      <c r="E390">
        <v>3</v>
      </c>
      <c r="F390">
        <v>14987</v>
      </c>
      <c r="G390">
        <f t="shared" si="6"/>
        <v>44961</v>
      </c>
      <c r="H390" t="s">
        <v>35</v>
      </c>
      <c r="I390" s="14" t="s">
        <v>30</v>
      </c>
      <c r="J390" s="1">
        <v>4</v>
      </c>
      <c r="K390" s="8" t="s">
        <v>671</v>
      </c>
      <c r="L390" s="8">
        <v>2026</v>
      </c>
    </row>
    <row r="391" spans="1:12">
      <c r="A391" t="s">
        <v>531</v>
      </c>
      <c r="B391" t="s">
        <v>285</v>
      </c>
      <c r="C391" t="s">
        <v>10</v>
      </c>
      <c r="D391" t="s">
        <v>11</v>
      </c>
      <c r="E391">
        <v>5</v>
      </c>
      <c r="F391">
        <v>32595</v>
      </c>
      <c r="G391">
        <f t="shared" si="6"/>
        <v>162975</v>
      </c>
      <c r="H391" t="s">
        <v>49</v>
      </c>
      <c r="I391" s="14" t="s">
        <v>8</v>
      </c>
      <c r="J391" s="1">
        <v>4.7</v>
      </c>
      <c r="K391" s="8" t="s">
        <v>663</v>
      </c>
      <c r="L391" s="8">
        <v>2026</v>
      </c>
    </row>
    <row r="392" spans="1:12">
      <c r="A392" t="s">
        <v>532</v>
      </c>
      <c r="B392" t="s">
        <v>34</v>
      </c>
      <c r="C392" t="s">
        <v>59</v>
      </c>
      <c r="D392" s="9" t="s">
        <v>7</v>
      </c>
      <c r="E392">
        <v>5</v>
      </c>
      <c r="F392">
        <v>35442</v>
      </c>
      <c r="G392">
        <f t="shared" si="6"/>
        <v>177210</v>
      </c>
      <c r="H392" t="s">
        <v>49</v>
      </c>
      <c r="I392" s="14" t="s">
        <v>65</v>
      </c>
      <c r="J392" s="1">
        <v>4.9000000000000004</v>
      </c>
      <c r="K392" s="8" t="s">
        <v>667</v>
      </c>
      <c r="L392" s="8">
        <v>2026</v>
      </c>
    </row>
    <row r="393" spans="1:12">
      <c r="A393" t="s">
        <v>533</v>
      </c>
      <c r="B393" t="s">
        <v>285</v>
      </c>
      <c r="C393" t="s">
        <v>105</v>
      </c>
      <c r="D393" t="s">
        <v>106</v>
      </c>
      <c r="E393">
        <v>5</v>
      </c>
      <c r="F393">
        <v>39506</v>
      </c>
      <c r="G393">
        <f t="shared" si="6"/>
        <v>197530</v>
      </c>
      <c r="H393" t="s">
        <v>46</v>
      </c>
      <c r="I393" s="14" t="s">
        <v>65</v>
      </c>
      <c r="J393" s="1">
        <v>4.3</v>
      </c>
      <c r="K393" s="8" t="s">
        <v>663</v>
      </c>
      <c r="L393" s="8">
        <v>2026</v>
      </c>
    </row>
    <row r="394" spans="1:12">
      <c r="A394" t="s">
        <v>534</v>
      </c>
      <c r="B394" t="s">
        <v>285</v>
      </c>
      <c r="C394" t="s">
        <v>79</v>
      </c>
      <c r="D394" t="s">
        <v>80</v>
      </c>
      <c r="E394">
        <v>2</v>
      </c>
      <c r="F394">
        <v>33094</v>
      </c>
      <c r="G394">
        <f t="shared" si="6"/>
        <v>66188</v>
      </c>
      <c r="H394" t="s">
        <v>27</v>
      </c>
      <c r="I394" s="14" t="s">
        <v>8</v>
      </c>
      <c r="J394" s="1">
        <v>3.9</v>
      </c>
      <c r="K394" s="8" t="s">
        <v>675</v>
      </c>
      <c r="L394" s="8">
        <v>2026</v>
      </c>
    </row>
    <row r="395" spans="1:12">
      <c r="A395" t="s">
        <v>535</v>
      </c>
      <c r="B395" t="s">
        <v>128</v>
      </c>
      <c r="C395" t="s">
        <v>13</v>
      </c>
      <c r="D395" t="s">
        <v>14</v>
      </c>
      <c r="E395">
        <v>5</v>
      </c>
      <c r="F395">
        <v>26104</v>
      </c>
      <c r="G395">
        <f t="shared" si="6"/>
        <v>130520</v>
      </c>
      <c r="H395" t="s">
        <v>49</v>
      </c>
      <c r="I395" s="14" t="s">
        <v>65</v>
      </c>
      <c r="J395" s="1">
        <v>3.1</v>
      </c>
      <c r="K395" s="8" t="s">
        <v>667</v>
      </c>
      <c r="L395" s="8">
        <v>2026</v>
      </c>
    </row>
    <row r="396" spans="1:12">
      <c r="A396" t="s">
        <v>536</v>
      </c>
      <c r="B396" t="s">
        <v>257</v>
      </c>
      <c r="C396" t="s">
        <v>16</v>
      </c>
      <c r="D396" t="s">
        <v>14</v>
      </c>
      <c r="E396">
        <v>4</v>
      </c>
      <c r="F396">
        <v>37213</v>
      </c>
      <c r="G396">
        <f t="shared" si="6"/>
        <v>148852</v>
      </c>
      <c r="H396" t="s">
        <v>74</v>
      </c>
      <c r="I396" s="14" t="s">
        <v>8</v>
      </c>
      <c r="J396" s="1">
        <v>4.0999999999999996</v>
      </c>
      <c r="K396" s="8" t="s">
        <v>669</v>
      </c>
      <c r="L396" s="8">
        <v>2026</v>
      </c>
    </row>
    <row r="397" spans="1:12">
      <c r="A397" t="s">
        <v>537</v>
      </c>
      <c r="B397" t="s">
        <v>34</v>
      </c>
      <c r="C397" t="s">
        <v>59</v>
      </c>
      <c r="D397" s="9" t="s">
        <v>7</v>
      </c>
      <c r="E397">
        <v>1</v>
      </c>
      <c r="F397">
        <v>1534</v>
      </c>
      <c r="G397">
        <f t="shared" si="6"/>
        <v>1534</v>
      </c>
      <c r="H397" t="s">
        <v>9</v>
      </c>
      <c r="I397" s="14" t="s">
        <v>30</v>
      </c>
      <c r="J397" s="1">
        <v>4.2</v>
      </c>
      <c r="K397" s="8" t="s">
        <v>673</v>
      </c>
      <c r="L397" s="8">
        <v>2026</v>
      </c>
    </row>
    <row r="398" spans="1:12">
      <c r="A398" t="s">
        <v>538</v>
      </c>
      <c r="B398" t="s">
        <v>170</v>
      </c>
      <c r="C398" t="s">
        <v>79</v>
      </c>
      <c r="D398" t="s">
        <v>80</v>
      </c>
      <c r="E398">
        <v>2</v>
      </c>
      <c r="F398">
        <v>13321</v>
      </c>
      <c r="G398">
        <f t="shared" si="6"/>
        <v>26642</v>
      </c>
      <c r="H398" t="s">
        <v>49</v>
      </c>
      <c r="I398" s="14" t="s">
        <v>40</v>
      </c>
      <c r="J398" s="1">
        <v>4.2</v>
      </c>
      <c r="K398" s="8" t="s">
        <v>663</v>
      </c>
      <c r="L398" s="8">
        <v>2026</v>
      </c>
    </row>
    <row r="399" spans="1:12">
      <c r="A399" t="s">
        <v>539</v>
      </c>
      <c r="B399" t="s">
        <v>157</v>
      </c>
      <c r="C399" t="s">
        <v>52</v>
      </c>
      <c r="D399" t="s">
        <v>11</v>
      </c>
      <c r="E399">
        <v>5</v>
      </c>
      <c r="F399">
        <v>5723</v>
      </c>
      <c r="G399">
        <f t="shared" si="6"/>
        <v>28615</v>
      </c>
      <c r="H399" t="s">
        <v>64</v>
      </c>
      <c r="I399" s="14" t="s">
        <v>65</v>
      </c>
      <c r="J399" s="1">
        <v>3.8</v>
      </c>
      <c r="K399" s="8" t="s">
        <v>675</v>
      </c>
      <c r="L399" s="8">
        <v>2026</v>
      </c>
    </row>
    <row r="400" spans="1:12">
      <c r="A400" t="s">
        <v>540</v>
      </c>
      <c r="B400" t="s">
        <v>300</v>
      </c>
      <c r="C400" t="s">
        <v>15</v>
      </c>
      <c r="D400" s="9" t="s">
        <v>7</v>
      </c>
      <c r="E400">
        <v>1</v>
      </c>
      <c r="F400">
        <v>18587</v>
      </c>
      <c r="G400">
        <f t="shared" si="6"/>
        <v>18587</v>
      </c>
      <c r="H400" t="s">
        <v>46</v>
      </c>
      <c r="I400" s="14" t="s">
        <v>8</v>
      </c>
      <c r="J400" s="1">
        <v>4.5999999999999996</v>
      </c>
      <c r="K400" s="8" t="s">
        <v>676</v>
      </c>
      <c r="L400" s="8">
        <v>2026</v>
      </c>
    </row>
    <row r="401" spans="1:12">
      <c r="A401" t="s">
        <v>541</v>
      </c>
      <c r="B401" t="s">
        <v>157</v>
      </c>
      <c r="C401" t="s">
        <v>6</v>
      </c>
      <c r="D401" t="s">
        <v>7</v>
      </c>
      <c r="E401">
        <v>2</v>
      </c>
      <c r="F401">
        <v>22985</v>
      </c>
      <c r="G401">
        <f t="shared" si="6"/>
        <v>45970</v>
      </c>
      <c r="H401" t="s">
        <v>9</v>
      </c>
      <c r="I401" s="14" t="s">
        <v>65</v>
      </c>
      <c r="J401" s="1">
        <v>3.3</v>
      </c>
      <c r="K401" s="8" t="s">
        <v>676</v>
      </c>
      <c r="L401" s="8">
        <v>2026</v>
      </c>
    </row>
    <row r="402" spans="1:12">
      <c r="A402" t="s">
        <v>542</v>
      </c>
      <c r="B402" t="s">
        <v>295</v>
      </c>
      <c r="C402" t="s">
        <v>16</v>
      </c>
      <c r="D402" t="s">
        <v>14</v>
      </c>
      <c r="E402">
        <v>1</v>
      </c>
      <c r="F402">
        <v>16628</v>
      </c>
      <c r="G402">
        <f t="shared" si="6"/>
        <v>16628</v>
      </c>
      <c r="H402" t="s">
        <v>9</v>
      </c>
      <c r="I402" s="14" t="s">
        <v>65</v>
      </c>
      <c r="J402" s="1">
        <v>4.5999999999999996</v>
      </c>
      <c r="K402" s="8" t="s">
        <v>663</v>
      </c>
      <c r="L402" s="8">
        <v>2026</v>
      </c>
    </row>
    <row r="403" spans="1:12">
      <c r="A403" t="s">
        <v>543</v>
      </c>
      <c r="B403" t="s">
        <v>167</v>
      </c>
      <c r="C403" t="s">
        <v>16</v>
      </c>
      <c r="D403" t="s">
        <v>14</v>
      </c>
      <c r="E403">
        <v>3</v>
      </c>
      <c r="F403">
        <v>17764</v>
      </c>
      <c r="G403">
        <f t="shared" si="6"/>
        <v>53292</v>
      </c>
      <c r="H403" t="s">
        <v>27</v>
      </c>
      <c r="I403" s="14" t="s">
        <v>43</v>
      </c>
      <c r="J403" s="1">
        <v>4.5999999999999996</v>
      </c>
      <c r="K403" s="8" t="s">
        <v>676</v>
      </c>
      <c r="L403" s="8">
        <v>2026</v>
      </c>
    </row>
    <row r="404" spans="1:12">
      <c r="A404" t="s">
        <v>544</v>
      </c>
      <c r="B404" t="s">
        <v>376</v>
      </c>
      <c r="C404" t="s">
        <v>26</v>
      </c>
      <c r="D404" s="9" t="s">
        <v>7</v>
      </c>
      <c r="E404">
        <v>5</v>
      </c>
      <c r="F404">
        <v>7386</v>
      </c>
      <c r="G404">
        <f t="shared" si="6"/>
        <v>36930</v>
      </c>
      <c r="H404" t="s">
        <v>49</v>
      </c>
      <c r="I404" s="14" t="s">
        <v>65</v>
      </c>
      <c r="J404" s="1">
        <v>5</v>
      </c>
      <c r="K404" s="8" t="s">
        <v>675</v>
      </c>
      <c r="L404" s="8">
        <v>2026</v>
      </c>
    </row>
    <row r="405" spans="1:12">
      <c r="A405" t="s">
        <v>545</v>
      </c>
      <c r="B405" t="s">
        <v>205</v>
      </c>
      <c r="C405" t="s">
        <v>79</v>
      </c>
      <c r="D405" t="s">
        <v>80</v>
      </c>
      <c r="E405">
        <v>1</v>
      </c>
      <c r="F405">
        <v>35053</v>
      </c>
      <c r="G405">
        <f t="shared" si="6"/>
        <v>35053</v>
      </c>
      <c r="H405" t="s">
        <v>74</v>
      </c>
      <c r="I405" s="14" t="s">
        <v>65</v>
      </c>
      <c r="J405" s="1">
        <v>3.8</v>
      </c>
      <c r="K405" s="8" t="s">
        <v>667</v>
      </c>
      <c r="L405" s="8">
        <v>2026</v>
      </c>
    </row>
    <row r="406" spans="1:12">
      <c r="A406" t="s">
        <v>546</v>
      </c>
      <c r="B406" t="s">
        <v>58</v>
      </c>
      <c r="C406" t="s">
        <v>15</v>
      </c>
      <c r="D406" s="9" t="s">
        <v>7</v>
      </c>
      <c r="E406">
        <v>5</v>
      </c>
      <c r="F406">
        <v>7882</v>
      </c>
      <c r="G406">
        <f t="shared" si="6"/>
        <v>39410</v>
      </c>
      <c r="H406" t="s">
        <v>74</v>
      </c>
      <c r="I406" s="14" t="s">
        <v>30</v>
      </c>
      <c r="J406" s="1">
        <v>4.9000000000000004</v>
      </c>
      <c r="K406" s="8" t="s">
        <v>663</v>
      </c>
      <c r="L406" s="8">
        <v>2026</v>
      </c>
    </row>
    <row r="407" spans="1:12">
      <c r="A407" t="s">
        <v>547</v>
      </c>
      <c r="B407" t="s">
        <v>267</v>
      </c>
      <c r="C407" t="s">
        <v>55</v>
      </c>
      <c r="D407" t="s">
        <v>56</v>
      </c>
      <c r="E407">
        <v>3</v>
      </c>
      <c r="F407">
        <v>46173</v>
      </c>
      <c r="G407">
        <f t="shared" si="6"/>
        <v>138519</v>
      </c>
      <c r="H407" t="s">
        <v>9</v>
      </c>
      <c r="I407" s="14" t="s">
        <v>8</v>
      </c>
      <c r="J407" s="1">
        <v>3.1</v>
      </c>
      <c r="K407" s="8" t="s">
        <v>667</v>
      </c>
      <c r="L407" s="8">
        <v>2026</v>
      </c>
    </row>
    <row r="408" spans="1:12">
      <c r="A408" t="s">
        <v>548</v>
      </c>
      <c r="B408" t="s">
        <v>203</v>
      </c>
      <c r="C408" t="s">
        <v>52</v>
      </c>
      <c r="D408" t="s">
        <v>11</v>
      </c>
      <c r="E408">
        <v>3</v>
      </c>
      <c r="F408">
        <v>17105</v>
      </c>
      <c r="G408">
        <f t="shared" si="6"/>
        <v>51315</v>
      </c>
      <c r="H408" t="s">
        <v>64</v>
      </c>
      <c r="I408" s="14" t="s">
        <v>65</v>
      </c>
      <c r="J408" s="1">
        <v>4.2</v>
      </c>
      <c r="K408" s="8" t="s">
        <v>673</v>
      </c>
      <c r="L408" s="8">
        <v>2026</v>
      </c>
    </row>
    <row r="409" spans="1:12">
      <c r="A409" t="s">
        <v>549</v>
      </c>
      <c r="B409" t="s">
        <v>210</v>
      </c>
      <c r="C409" t="s">
        <v>6</v>
      </c>
      <c r="D409" s="9" t="s">
        <v>7</v>
      </c>
      <c r="E409">
        <v>5</v>
      </c>
      <c r="F409">
        <v>27005</v>
      </c>
      <c r="G409">
        <f t="shared" si="6"/>
        <v>135025</v>
      </c>
      <c r="H409" t="s">
        <v>46</v>
      </c>
      <c r="I409" s="14" t="s">
        <v>8</v>
      </c>
      <c r="J409" s="1">
        <v>3.3</v>
      </c>
      <c r="K409" s="8" t="s">
        <v>673</v>
      </c>
      <c r="L409" s="8">
        <v>2026</v>
      </c>
    </row>
    <row r="410" spans="1:12">
      <c r="A410" t="s">
        <v>550</v>
      </c>
      <c r="B410" t="s">
        <v>228</v>
      </c>
      <c r="C410" t="s">
        <v>12</v>
      </c>
      <c r="D410" s="9" t="s">
        <v>7</v>
      </c>
      <c r="E410">
        <v>3</v>
      </c>
      <c r="F410">
        <v>10745</v>
      </c>
      <c r="G410">
        <f t="shared" si="6"/>
        <v>32235</v>
      </c>
      <c r="H410" t="s">
        <v>35</v>
      </c>
      <c r="I410" s="14" t="s">
        <v>30</v>
      </c>
      <c r="J410" s="1">
        <v>4.2</v>
      </c>
      <c r="K410" s="8" t="s">
        <v>668</v>
      </c>
      <c r="L410" s="8">
        <v>2026</v>
      </c>
    </row>
    <row r="411" spans="1:12">
      <c r="A411" t="s">
        <v>551</v>
      </c>
      <c r="B411" t="s">
        <v>173</v>
      </c>
      <c r="C411" t="s">
        <v>15</v>
      </c>
      <c r="D411" s="9" t="s">
        <v>7</v>
      </c>
      <c r="E411">
        <v>2</v>
      </c>
      <c r="F411">
        <v>6237</v>
      </c>
      <c r="G411">
        <f t="shared" si="6"/>
        <v>12474</v>
      </c>
      <c r="H411" t="s">
        <v>35</v>
      </c>
      <c r="I411" s="14" t="s">
        <v>40</v>
      </c>
      <c r="J411" s="1">
        <v>3.7</v>
      </c>
      <c r="K411" s="8" t="s">
        <v>668</v>
      </c>
      <c r="L411" s="8">
        <v>2026</v>
      </c>
    </row>
    <row r="412" spans="1:12">
      <c r="A412" t="s">
        <v>552</v>
      </c>
      <c r="B412" t="s">
        <v>167</v>
      </c>
      <c r="C412" t="s">
        <v>6</v>
      </c>
      <c r="D412" s="9" t="s">
        <v>7</v>
      </c>
      <c r="E412">
        <v>5</v>
      </c>
      <c r="F412">
        <v>24005</v>
      </c>
      <c r="G412">
        <f t="shared" si="6"/>
        <v>120025</v>
      </c>
      <c r="H412" t="s">
        <v>9</v>
      </c>
      <c r="I412" s="14" t="s">
        <v>43</v>
      </c>
      <c r="J412" s="1">
        <v>3.9</v>
      </c>
      <c r="K412" s="8" t="s">
        <v>676</v>
      </c>
      <c r="L412" s="8">
        <v>2026</v>
      </c>
    </row>
    <row r="413" spans="1:12">
      <c r="A413" t="s">
        <v>553</v>
      </c>
      <c r="B413" t="s">
        <v>112</v>
      </c>
      <c r="C413" t="s">
        <v>26</v>
      </c>
      <c r="D413" s="9" t="s">
        <v>7</v>
      </c>
      <c r="E413">
        <v>3</v>
      </c>
      <c r="F413">
        <v>29307</v>
      </c>
      <c r="G413">
        <f t="shared" si="6"/>
        <v>87921</v>
      </c>
      <c r="H413" t="s">
        <v>27</v>
      </c>
      <c r="I413" s="14" t="s">
        <v>40</v>
      </c>
      <c r="J413" s="1">
        <v>4.0999999999999996</v>
      </c>
      <c r="K413" s="8" t="s">
        <v>668</v>
      </c>
      <c r="L413" s="8">
        <v>2026</v>
      </c>
    </row>
    <row r="414" spans="1:12">
      <c r="A414" t="s">
        <v>554</v>
      </c>
      <c r="B414" t="s">
        <v>32</v>
      </c>
      <c r="C414" t="s">
        <v>16</v>
      </c>
      <c r="D414" t="s">
        <v>14</v>
      </c>
      <c r="E414">
        <v>2</v>
      </c>
      <c r="F414">
        <v>15917</v>
      </c>
      <c r="G414">
        <f t="shared" si="6"/>
        <v>31834</v>
      </c>
      <c r="H414" t="s">
        <v>35</v>
      </c>
      <c r="I414" s="14" t="s">
        <v>30</v>
      </c>
      <c r="J414" s="1">
        <v>4</v>
      </c>
      <c r="K414" s="8" t="s">
        <v>663</v>
      </c>
      <c r="L414" s="8">
        <v>2026</v>
      </c>
    </row>
    <row r="415" spans="1:12">
      <c r="A415" t="s">
        <v>555</v>
      </c>
      <c r="B415" t="s">
        <v>63</v>
      </c>
      <c r="C415" t="s">
        <v>15</v>
      </c>
      <c r="D415" s="9" t="s">
        <v>7</v>
      </c>
      <c r="E415">
        <v>3</v>
      </c>
      <c r="F415">
        <v>21037</v>
      </c>
      <c r="G415">
        <f t="shared" si="6"/>
        <v>63111</v>
      </c>
      <c r="H415" t="s">
        <v>35</v>
      </c>
      <c r="I415" s="14" t="s">
        <v>8</v>
      </c>
      <c r="J415" s="1">
        <v>3.6</v>
      </c>
      <c r="K415" s="8" t="s">
        <v>674</v>
      </c>
      <c r="L415" s="8">
        <v>2026</v>
      </c>
    </row>
    <row r="416" spans="1:12">
      <c r="A416" t="s">
        <v>556</v>
      </c>
      <c r="B416" t="s">
        <v>58</v>
      </c>
      <c r="C416" t="s">
        <v>16</v>
      </c>
      <c r="D416" t="s">
        <v>14</v>
      </c>
      <c r="E416">
        <v>4</v>
      </c>
      <c r="F416">
        <v>46778</v>
      </c>
      <c r="G416">
        <f t="shared" si="6"/>
        <v>187112</v>
      </c>
      <c r="H416" t="s">
        <v>9</v>
      </c>
      <c r="I416" s="14" t="s">
        <v>65</v>
      </c>
      <c r="J416" s="1">
        <v>3.8</v>
      </c>
      <c r="K416" s="8" t="s">
        <v>676</v>
      </c>
      <c r="L416" s="8">
        <v>2026</v>
      </c>
    </row>
    <row r="417" spans="1:12">
      <c r="A417" t="s">
        <v>557</v>
      </c>
      <c r="B417" t="s">
        <v>178</v>
      </c>
      <c r="C417" t="s">
        <v>55</v>
      </c>
      <c r="D417" t="s">
        <v>56</v>
      </c>
      <c r="E417">
        <v>1</v>
      </c>
      <c r="F417">
        <v>22122</v>
      </c>
      <c r="G417">
        <f t="shared" si="6"/>
        <v>22122</v>
      </c>
      <c r="H417" t="s">
        <v>9</v>
      </c>
      <c r="I417" s="14" t="s">
        <v>30</v>
      </c>
      <c r="J417" s="1">
        <v>3.2</v>
      </c>
      <c r="K417" s="8" t="s">
        <v>668</v>
      </c>
      <c r="L417" s="8">
        <v>2026</v>
      </c>
    </row>
    <row r="418" spans="1:12">
      <c r="A418" t="s">
        <v>558</v>
      </c>
      <c r="B418" t="s">
        <v>155</v>
      </c>
      <c r="C418" t="s">
        <v>55</v>
      </c>
      <c r="D418" t="s">
        <v>56</v>
      </c>
      <c r="E418">
        <v>3</v>
      </c>
      <c r="F418">
        <v>22908</v>
      </c>
      <c r="G418">
        <f t="shared" si="6"/>
        <v>68724</v>
      </c>
      <c r="H418" t="s">
        <v>64</v>
      </c>
      <c r="I418" s="14" t="s">
        <v>30</v>
      </c>
      <c r="J418" s="1">
        <v>4.3</v>
      </c>
      <c r="K418" s="8" t="s">
        <v>673</v>
      </c>
      <c r="L418" s="8">
        <v>2026</v>
      </c>
    </row>
    <row r="419" spans="1:12">
      <c r="A419" t="s">
        <v>559</v>
      </c>
      <c r="B419" t="s">
        <v>141</v>
      </c>
      <c r="C419" t="s">
        <v>79</v>
      </c>
      <c r="D419" t="s">
        <v>80</v>
      </c>
      <c r="E419">
        <v>1</v>
      </c>
      <c r="F419">
        <v>28506</v>
      </c>
      <c r="G419">
        <f t="shared" si="6"/>
        <v>28506</v>
      </c>
      <c r="H419" t="s">
        <v>9</v>
      </c>
      <c r="I419" s="14" t="s">
        <v>8</v>
      </c>
      <c r="J419" s="1">
        <v>3.9</v>
      </c>
      <c r="K419" s="8" t="s">
        <v>673</v>
      </c>
      <c r="L419" s="8">
        <v>2026</v>
      </c>
    </row>
    <row r="420" spans="1:12">
      <c r="A420" t="s">
        <v>560</v>
      </c>
      <c r="B420" t="s">
        <v>273</v>
      </c>
      <c r="C420" t="s">
        <v>16</v>
      </c>
      <c r="D420" t="s">
        <v>14</v>
      </c>
      <c r="E420">
        <v>2</v>
      </c>
      <c r="F420">
        <v>45544</v>
      </c>
      <c r="G420">
        <f t="shared" si="6"/>
        <v>91088</v>
      </c>
      <c r="H420" t="s">
        <v>49</v>
      </c>
      <c r="I420" s="14" t="s">
        <v>40</v>
      </c>
      <c r="J420" s="1">
        <v>4.9000000000000004</v>
      </c>
      <c r="K420" s="8" t="s">
        <v>663</v>
      </c>
      <c r="L420" s="8">
        <v>2026</v>
      </c>
    </row>
    <row r="421" spans="1:12">
      <c r="A421" t="s">
        <v>561</v>
      </c>
      <c r="B421" t="s">
        <v>159</v>
      </c>
      <c r="C421" t="s">
        <v>6</v>
      </c>
      <c r="D421" s="9" t="s">
        <v>7</v>
      </c>
      <c r="E421">
        <v>2</v>
      </c>
      <c r="F421">
        <v>21821</v>
      </c>
      <c r="G421">
        <f t="shared" si="6"/>
        <v>43642</v>
      </c>
      <c r="H421" t="s">
        <v>49</v>
      </c>
      <c r="I421" s="14" t="s">
        <v>65</v>
      </c>
      <c r="J421" s="1">
        <v>4.0999999999999996</v>
      </c>
      <c r="K421" s="8" t="s">
        <v>668</v>
      </c>
      <c r="L421" s="8">
        <v>2026</v>
      </c>
    </row>
    <row r="422" spans="1:12">
      <c r="A422" t="s">
        <v>562</v>
      </c>
      <c r="B422" t="s">
        <v>193</v>
      </c>
      <c r="C422" t="s">
        <v>79</v>
      </c>
      <c r="D422" t="s">
        <v>80</v>
      </c>
      <c r="E422">
        <v>3</v>
      </c>
      <c r="F422">
        <v>10342</v>
      </c>
      <c r="G422">
        <f t="shared" si="6"/>
        <v>31026</v>
      </c>
      <c r="H422" t="s">
        <v>74</v>
      </c>
      <c r="I422" s="14" t="s">
        <v>65</v>
      </c>
      <c r="J422" s="1">
        <v>4.7</v>
      </c>
      <c r="K422" s="8" t="s">
        <v>676</v>
      </c>
      <c r="L422" s="8">
        <v>2026</v>
      </c>
    </row>
    <row r="423" spans="1:12">
      <c r="A423" t="s">
        <v>563</v>
      </c>
      <c r="B423" t="s">
        <v>67</v>
      </c>
      <c r="C423" t="s">
        <v>79</v>
      </c>
      <c r="D423" t="s">
        <v>80</v>
      </c>
      <c r="E423">
        <v>5</v>
      </c>
      <c r="F423">
        <v>49170</v>
      </c>
      <c r="G423">
        <f t="shared" si="6"/>
        <v>245850</v>
      </c>
      <c r="H423" t="s">
        <v>9</v>
      </c>
      <c r="I423" s="14" t="s">
        <v>30</v>
      </c>
      <c r="J423" s="1">
        <v>4.7</v>
      </c>
      <c r="K423" s="8" t="s">
        <v>673</v>
      </c>
      <c r="L423" s="8">
        <v>2026</v>
      </c>
    </row>
    <row r="424" spans="1:12">
      <c r="A424" t="s">
        <v>564</v>
      </c>
      <c r="B424" t="s">
        <v>167</v>
      </c>
      <c r="C424" t="s">
        <v>16</v>
      </c>
      <c r="D424" t="s">
        <v>14</v>
      </c>
      <c r="E424">
        <v>4</v>
      </c>
      <c r="F424">
        <v>33533</v>
      </c>
      <c r="G424">
        <f t="shared" si="6"/>
        <v>134132</v>
      </c>
      <c r="H424" t="s">
        <v>27</v>
      </c>
      <c r="I424" s="14" t="s">
        <v>8</v>
      </c>
      <c r="J424" s="1">
        <v>4.0999999999999996</v>
      </c>
      <c r="K424" s="8" t="s">
        <v>676</v>
      </c>
      <c r="L424" s="8">
        <v>2026</v>
      </c>
    </row>
    <row r="425" spans="1:12">
      <c r="A425" t="s">
        <v>565</v>
      </c>
      <c r="B425" t="s">
        <v>102</v>
      </c>
      <c r="C425" t="s">
        <v>52</v>
      </c>
      <c r="D425" t="s">
        <v>11</v>
      </c>
      <c r="E425">
        <v>2</v>
      </c>
      <c r="F425">
        <v>43575</v>
      </c>
      <c r="G425">
        <f t="shared" si="6"/>
        <v>87150</v>
      </c>
      <c r="H425" t="s">
        <v>9</v>
      </c>
      <c r="I425" s="14" t="s">
        <v>8</v>
      </c>
      <c r="J425" s="1">
        <v>3.1</v>
      </c>
      <c r="K425" s="8" t="s">
        <v>670</v>
      </c>
      <c r="L425" s="8">
        <v>2026</v>
      </c>
    </row>
    <row r="426" spans="1:12">
      <c r="A426" t="s">
        <v>566</v>
      </c>
      <c r="B426" t="s">
        <v>363</v>
      </c>
      <c r="C426" t="s">
        <v>15</v>
      </c>
      <c r="D426" s="9" t="s">
        <v>7</v>
      </c>
      <c r="E426">
        <v>1</v>
      </c>
      <c r="F426">
        <v>32494</v>
      </c>
      <c r="G426">
        <f t="shared" si="6"/>
        <v>32494</v>
      </c>
      <c r="H426" t="s">
        <v>49</v>
      </c>
      <c r="I426" s="14" t="s">
        <v>8</v>
      </c>
      <c r="J426" s="1">
        <v>3.9</v>
      </c>
      <c r="K426" s="8" t="s">
        <v>673</v>
      </c>
      <c r="L426" s="8">
        <v>2026</v>
      </c>
    </row>
    <row r="427" spans="1:12">
      <c r="A427" t="s">
        <v>567</v>
      </c>
      <c r="B427" t="s">
        <v>159</v>
      </c>
      <c r="C427" t="s">
        <v>79</v>
      </c>
      <c r="D427" t="s">
        <v>80</v>
      </c>
      <c r="E427">
        <v>4</v>
      </c>
      <c r="F427">
        <v>6139</v>
      </c>
      <c r="G427">
        <f t="shared" si="6"/>
        <v>24556</v>
      </c>
      <c r="H427" t="s">
        <v>64</v>
      </c>
      <c r="I427" s="14" t="s">
        <v>43</v>
      </c>
      <c r="J427" s="1">
        <v>3</v>
      </c>
      <c r="K427" s="8" t="s">
        <v>673</v>
      </c>
      <c r="L427" s="8">
        <v>2026</v>
      </c>
    </row>
    <row r="428" spans="1:12">
      <c r="A428" t="s">
        <v>568</v>
      </c>
      <c r="B428" t="s">
        <v>141</v>
      </c>
      <c r="C428" t="s">
        <v>13</v>
      </c>
      <c r="D428" t="s">
        <v>14</v>
      </c>
      <c r="E428">
        <v>1</v>
      </c>
      <c r="F428">
        <v>5801</v>
      </c>
      <c r="G428">
        <f t="shared" si="6"/>
        <v>5801</v>
      </c>
      <c r="H428" t="s">
        <v>9</v>
      </c>
      <c r="I428" s="14" t="s">
        <v>65</v>
      </c>
      <c r="J428" s="1">
        <v>4.3</v>
      </c>
      <c r="K428" s="8" t="s">
        <v>671</v>
      </c>
      <c r="L428" s="8">
        <v>2026</v>
      </c>
    </row>
    <row r="429" spans="1:12">
      <c r="A429" t="s">
        <v>569</v>
      </c>
      <c r="B429" t="s">
        <v>225</v>
      </c>
      <c r="C429" t="s">
        <v>13</v>
      </c>
      <c r="D429" t="s">
        <v>14</v>
      </c>
      <c r="E429">
        <v>1</v>
      </c>
      <c r="F429">
        <v>47903</v>
      </c>
      <c r="G429">
        <f t="shared" si="6"/>
        <v>47903</v>
      </c>
      <c r="H429" t="s">
        <v>9</v>
      </c>
      <c r="I429" s="14" t="s">
        <v>65</v>
      </c>
      <c r="J429" s="1">
        <v>3.4</v>
      </c>
      <c r="K429" s="8" t="s">
        <v>673</v>
      </c>
      <c r="L429" s="8">
        <v>2026</v>
      </c>
    </row>
    <row r="430" spans="1:12">
      <c r="A430" t="s">
        <v>570</v>
      </c>
      <c r="B430" t="s">
        <v>248</v>
      </c>
      <c r="C430" t="s">
        <v>52</v>
      </c>
      <c r="D430" t="s">
        <v>11</v>
      </c>
      <c r="E430">
        <v>1</v>
      </c>
      <c r="F430">
        <v>16385</v>
      </c>
      <c r="G430">
        <f t="shared" si="6"/>
        <v>16385</v>
      </c>
      <c r="H430" t="s">
        <v>74</v>
      </c>
      <c r="I430" s="14" t="s">
        <v>8</v>
      </c>
      <c r="J430" s="1">
        <v>4.7</v>
      </c>
      <c r="K430" s="8" t="s">
        <v>670</v>
      </c>
      <c r="L430" s="8">
        <v>2026</v>
      </c>
    </row>
    <row r="431" spans="1:12">
      <c r="A431" t="s">
        <v>571</v>
      </c>
      <c r="B431" t="s">
        <v>387</v>
      </c>
      <c r="C431" t="s">
        <v>12</v>
      </c>
      <c r="D431" s="9" t="s">
        <v>7</v>
      </c>
      <c r="E431">
        <v>2</v>
      </c>
      <c r="F431">
        <v>19521</v>
      </c>
      <c r="G431">
        <f t="shared" si="6"/>
        <v>39042</v>
      </c>
      <c r="H431" t="s">
        <v>64</v>
      </c>
      <c r="I431" s="14" t="s">
        <v>43</v>
      </c>
      <c r="J431" s="1">
        <v>4.5</v>
      </c>
      <c r="K431" s="8" t="s">
        <v>671</v>
      </c>
      <c r="L431" s="8">
        <v>2026</v>
      </c>
    </row>
    <row r="432" spans="1:12">
      <c r="A432" t="s">
        <v>572</v>
      </c>
      <c r="B432" t="s">
        <v>205</v>
      </c>
      <c r="C432" t="s">
        <v>15</v>
      </c>
      <c r="D432" s="9" t="s">
        <v>7</v>
      </c>
      <c r="E432">
        <v>3</v>
      </c>
      <c r="F432">
        <v>5540</v>
      </c>
      <c r="G432">
        <f t="shared" si="6"/>
        <v>16620</v>
      </c>
      <c r="H432" t="s">
        <v>46</v>
      </c>
      <c r="I432" s="14" t="s">
        <v>43</v>
      </c>
      <c r="J432" s="1">
        <v>3.2</v>
      </c>
      <c r="K432" s="8" t="s">
        <v>676</v>
      </c>
      <c r="L432" s="8">
        <v>2026</v>
      </c>
    </row>
    <row r="433" spans="1:12">
      <c r="A433" t="s">
        <v>573</v>
      </c>
      <c r="B433" t="s">
        <v>48</v>
      </c>
      <c r="C433" t="s">
        <v>13</v>
      </c>
      <c r="D433" t="s">
        <v>14</v>
      </c>
      <c r="E433">
        <v>3</v>
      </c>
      <c r="F433">
        <v>48589</v>
      </c>
      <c r="G433">
        <f t="shared" si="6"/>
        <v>145767</v>
      </c>
      <c r="H433" t="s">
        <v>49</v>
      </c>
      <c r="I433" s="14" t="s">
        <v>30</v>
      </c>
      <c r="J433" s="1">
        <v>3.3</v>
      </c>
      <c r="K433" s="8" t="s">
        <v>663</v>
      </c>
      <c r="L433" s="8">
        <v>2026</v>
      </c>
    </row>
    <row r="434" spans="1:12">
      <c r="A434" t="s">
        <v>574</v>
      </c>
      <c r="B434" t="s">
        <v>93</v>
      </c>
      <c r="C434" t="s">
        <v>6</v>
      </c>
      <c r="D434" s="9" t="s">
        <v>7</v>
      </c>
      <c r="E434">
        <v>5</v>
      </c>
      <c r="F434">
        <v>9517</v>
      </c>
      <c r="G434">
        <f t="shared" si="6"/>
        <v>47585</v>
      </c>
      <c r="H434" t="s">
        <v>49</v>
      </c>
      <c r="I434" s="14" t="s">
        <v>43</v>
      </c>
      <c r="J434" s="1">
        <v>4.0999999999999996</v>
      </c>
      <c r="K434" s="8" t="s">
        <v>663</v>
      </c>
      <c r="L434" s="8">
        <v>2026</v>
      </c>
    </row>
    <row r="435" spans="1:12">
      <c r="A435" t="s">
        <v>575</v>
      </c>
      <c r="B435" t="s">
        <v>51</v>
      </c>
      <c r="C435" t="s">
        <v>105</v>
      </c>
      <c r="D435" t="s">
        <v>106</v>
      </c>
      <c r="E435">
        <v>5</v>
      </c>
      <c r="F435">
        <v>12089</v>
      </c>
      <c r="G435">
        <f t="shared" si="6"/>
        <v>60445</v>
      </c>
      <c r="H435" t="s">
        <v>74</v>
      </c>
      <c r="I435" s="14" t="s">
        <v>8</v>
      </c>
      <c r="J435" s="1">
        <v>3.5</v>
      </c>
      <c r="K435" s="8" t="s">
        <v>663</v>
      </c>
      <c r="L435" s="8">
        <v>2026</v>
      </c>
    </row>
    <row r="436" spans="1:12">
      <c r="A436" t="s">
        <v>576</v>
      </c>
      <c r="B436" t="s">
        <v>228</v>
      </c>
      <c r="C436" t="s">
        <v>59</v>
      </c>
      <c r="D436" s="9" t="s">
        <v>7</v>
      </c>
      <c r="E436">
        <v>3</v>
      </c>
      <c r="F436">
        <v>36958</v>
      </c>
      <c r="G436">
        <f t="shared" si="6"/>
        <v>110874</v>
      </c>
      <c r="H436" t="s">
        <v>9</v>
      </c>
      <c r="I436" s="14" t="s">
        <v>43</v>
      </c>
      <c r="J436" s="1">
        <v>4.5999999999999996</v>
      </c>
      <c r="K436" s="8" t="s">
        <v>667</v>
      </c>
      <c r="L436" s="8">
        <v>2026</v>
      </c>
    </row>
    <row r="437" spans="1:12">
      <c r="A437" t="s">
        <v>577</v>
      </c>
      <c r="B437" t="s">
        <v>84</v>
      </c>
      <c r="C437" t="s">
        <v>13</v>
      </c>
      <c r="D437" t="s">
        <v>14</v>
      </c>
      <c r="E437">
        <v>4</v>
      </c>
      <c r="F437">
        <v>6299</v>
      </c>
      <c r="G437">
        <f t="shared" si="6"/>
        <v>25196</v>
      </c>
      <c r="H437" t="s">
        <v>35</v>
      </c>
      <c r="I437" s="14" t="s">
        <v>30</v>
      </c>
      <c r="J437" s="1">
        <v>4.5999999999999996</v>
      </c>
      <c r="K437" s="8" t="s">
        <v>669</v>
      </c>
      <c r="L437" s="8">
        <v>2026</v>
      </c>
    </row>
    <row r="438" spans="1:12">
      <c r="A438" t="s">
        <v>578</v>
      </c>
      <c r="B438" t="s">
        <v>285</v>
      </c>
      <c r="C438" t="s">
        <v>79</v>
      </c>
      <c r="D438" t="s">
        <v>80</v>
      </c>
      <c r="E438">
        <v>1</v>
      </c>
      <c r="F438">
        <v>6669</v>
      </c>
      <c r="G438">
        <f t="shared" si="6"/>
        <v>6669</v>
      </c>
      <c r="H438" t="s">
        <v>9</v>
      </c>
      <c r="I438" s="14" t="s">
        <v>40</v>
      </c>
      <c r="J438" s="1">
        <v>3.3</v>
      </c>
      <c r="K438" s="8" t="s">
        <v>674</v>
      </c>
      <c r="L438" s="8">
        <v>2026</v>
      </c>
    </row>
    <row r="439" spans="1:12">
      <c r="A439" t="s">
        <v>579</v>
      </c>
      <c r="B439" t="s">
        <v>372</v>
      </c>
      <c r="C439" t="s">
        <v>79</v>
      </c>
      <c r="D439" t="s">
        <v>80</v>
      </c>
      <c r="E439">
        <v>3</v>
      </c>
      <c r="F439">
        <v>14554</v>
      </c>
      <c r="G439">
        <f t="shared" si="6"/>
        <v>43662</v>
      </c>
      <c r="H439" t="s">
        <v>49</v>
      </c>
      <c r="I439" s="14" t="s">
        <v>40</v>
      </c>
      <c r="J439" s="1">
        <v>3.1</v>
      </c>
      <c r="K439" s="8" t="s">
        <v>667</v>
      </c>
      <c r="L439" s="8">
        <v>2026</v>
      </c>
    </row>
    <row r="440" spans="1:12">
      <c r="A440" t="s">
        <v>580</v>
      </c>
      <c r="B440" t="s">
        <v>210</v>
      </c>
      <c r="C440" t="s">
        <v>79</v>
      </c>
      <c r="D440" t="s">
        <v>80</v>
      </c>
      <c r="E440">
        <v>2</v>
      </c>
      <c r="F440">
        <v>27412</v>
      </c>
      <c r="G440">
        <f t="shared" si="6"/>
        <v>54824</v>
      </c>
      <c r="H440" t="s">
        <v>74</v>
      </c>
      <c r="I440" s="14" t="s">
        <v>8</v>
      </c>
      <c r="J440" s="1">
        <v>3.2</v>
      </c>
      <c r="K440" s="8" t="s">
        <v>671</v>
      </c>
      <c r="L440" s="8">
        <v>2026</v>
      </c>
    </row>
    <row r="441" spans="1:12">
      <c r="A441" t="s">
        <v>581</v>
      </c>
      <c r="B441" t="s">
        <v>387</v>
      </c>
      <c r="C441" t="s">
        <v>55</v>
      </c>
      <c r="D441" t="s">
        <v>56</v>
      </c>
      <c r="E441">
        <v>2</v>
      </c>
      <c r="F441">
        <v>47311</v>
      </c>
      <c r="G441">
        <f t="shared" si="6"/>
        <v>94622</v>
      </c>
      <c r="H441" t="s">
        <v>9</v>
      </c>
      <c r="I441" s="14" t="s">
        <v>30</v>
      </c>
      <c r="J441" s="1">
        <v>4</v>
      </c>
      <c r="K441" s="8" t="s">
        <v>676</v>
      </c>
      <c r="L441" s="8">
        <v>2026</v>
      </c>
    </row>
    <row r="442" spans="1:12">
      <c r="A442" t="s">
        <v>582</v>
      </c>
      <c r="B442" t="s">
        <v>39</v>
      </c>
      <c r="C442" t="s">
        <v>55</v>
      </c>
      <c r="D442" t="s">
        <v>56</v>
      </c>
      <c r="E442">
        <v>4</v>
      </c>
      <c r="F442">
        <v>38602</v>
      </c>
      <c r="G442">
        <f t="shared" si="6"/>
        <v>154408</v>
      </c>
      <c r="H442" t="s">
        <v>35</v>
      </c>
      <c r="I442" s="14" t="s">
        <v>43</v>
      </c>
      <c r="J442" s="1">
        <v>3.5</v>
      </c>
      <c r="K442" s="8" t="s">
        <v>663</v>
      </c>
      <c r="L442" s="8">
        <v>2026</v>
      </c>
    </row>
    <row r="443" spans="1:12">
      <c r="A443" t="s">
        <v>583</v>
      </c>
      <c r="B443" t="s">
        <v>387</v>
      </c>
      <c r="C443" t="s">
        <v>10</v>
      </c>
      <c r="D443" t="s">
        <v>11</v>
      </c>
      <c r="E443">
        <v>1</v>
      </c>
      <c r="F443">
        <v>28224</v>
      </c>
      <c r="G443">
        <f t="shared" si="6"/>
        <v>28224</v>
      </c>
      <c r="H443" t="s">
        <v>49</v>
      </c>
      <c r="I443" s="14" t="s">
        <v>65</v>
      </c>
      <c r="J443" s="1">
        <v>3.1</v>
      </c>
      <c r="K443" s="8" t="s">
        <v>674</v>
      </c>
      <c r="L443" s="8">
        <v>2026</v>
      </c>
    </row>
    <row r="444" spans="1:12">
      <c r="A444" t="s">
        <v>584</v>
      </c>
      <c r="B444" t="s">
        <v>100</v>
      </c>
      <c r="C444" t="s">
        <v>6</v>
      </c>
      <c r="D444" s="9" t="s">
        <v>7</v>
      </c>
      <c r="E444">
        <v>1</v>
      </c>
      <c r="F444">
        <v>6748</v>
      </c>
      <c r="G444">
        <f t="shared" si="6"/>
        <v>6748</v>
      </c>
      <c r="H444" t="s">
        <v>9</v>
      </c>
      <c r="I444" s="14" t="s">
        <v>40</v>
      </c>
      <c r="J444" s="1">
        <v>3.7</v>
      </c>
      <c r="K444" s="8" t="s">
        <v>675</v>
      </c>
      <c r="L444" s="8">
        <v>2026</v>
      </c>
    </row>
    <row r="445" spans="1:12">
      <c r="A445" t="s">
        <v>585</v>
      </c>
      <c r="B445" t="s">
        <v>98</v>
      </c>
      <c r="C445" t="s">
        <v>10</v>
      </c>
      <c r="D445" t="s">
        <v>11</v>
      </c>
      <c r="E445">
        <v>4</v>
      </c>
      <c r="F445">
        <v>1788</v>
      </c>
      <c r="G445">
        <f t="shared" si="6"/>
        <v>7152</v>
      </c>
      <c r="H445" t="s">
        <v>46</v>
      </c>
      <c r="I445" s="14" t="s">
        <v>30</v>
      </c>
      <c r="J445" s="1">
        <v>4</v>
      </c>
      <c r="K445" s="8" t="s">
        <v>669</v>
      </c>
      <c r="L445" s="8">
        <v>2026</v>
      </c>
    </row>
    <row r="446" spans="1:12">
      <c r="A446" t="s">
        <v>586</v>
      </c>
      <c r="B446" t="s">
        <v>376</v>
      </c>
      <c r="C446" t="s">
        <v>79</v>
      </c>
      <c r="D446" t="s">
        <v>80</v>
      </c>
      <c r="E446">
        <v>3</v>
      </c>
      <c r="F446">
        <v>34171</v>
      </c>
      <c r="G446">
        <f t="shared" si="6"/>
        <v>102513</v>
      </c>
      <c r="H446" t="s">
        <v>9</v>
      </c>
      <c r="I446" s="14" t="s">
        <v>65</v>
      </c>
      <c r="J446" s="1">
        <v>4.4000000000000004</v>
      </c>
      <c r="K446" s="8" t="s">
        <v>669</v>
      </c>
      <c r="L446" s="8">
        <v>2026</v>
      </c>
    </row>
    <row r="447" spans="1:12">
      <c r="A447" t="s">
        <v>587</v>
      </c>
      <c r="B447" t="s">
        <v>182</v>
      </c>
      <c r="C447" t="s">
        <v>52</v>
      </c>
      <c r="D447" t="s">
        <v>11</v>
      </c>
      <c r="E447">
        <v>5</v>
      </c>
      <c r="F447">
        <v>44579</v>
      </c>
      <c r="G447">
        <f t="shared" si="6"/>
        <v>222895</v>
      </c>
      <c r="H447" t="s">
        <v>46</v>
      </c>
      <c r="I447" s="14" t="s">
        <v>40</v>
      </c>
      <c r="J447" s="1">
        <v>4.2</v>
      </c>
      <c r="K447" s="8" t="s">
        <v>667</v>
      </c>
      <c r="L447" s="8">
        <v>2026</v>
      </c>
    </row>
    <row r="448" spans="1:12">
      <c r="A448" t="s">
        <v>588</v>
      </c>
      <c r="B448" t="s">
        <v>520</v>
      </c>
      <c r="C448" t="s">
        <v>79</v>
      </c>
      <c r="D448" t="s">
        <v>80</v>
      </c>
      <c r="E448">
        <v>2</v>
      </c>
      <c r="F448">
        <v>2871</v>
      </c>
      <c r="G448">
        <f t="shared" si="6"/>
        <v>5742</v>
      </c>
      <c r="H448" t="s">
        <v>46</v>
      </c>
      <c r="I448" s="14" t="s">
        <v>43</v>
      </c>
      <c r="J448" s="1">
        <v>3.4</v>
      </c>
      <c r="K448" s="8" t="s">
        <v>663</v>
      </c>
      <c r="L448" s="8">
        <v>2026</v>
      </c>
    </row>
    <row r="449" spans="1:12">
      <c r="A449" t="s">
        <v>589</v>
      </c>
      <c r="B449" t="s">
        <v>135</v>
      </c>
      <c r="C449" t="s">
        <v>79</v>
      </c>
      <c r="D449" t="s">
        <v>80</v>
      </c>
      <c r="E449">
        <v>4</v>
      </c>
      <c r="F449">
        <v>4127</v>
      </c>
      <c r="G449">
        <f t="shared" si="6"/>
        <v>16508</v>
      </c>
      <c r="H449" t="s">
        <v>35</v>
      </c>
      <c r="I449" s="14" t="s">
        <v>65</v>
      </c>
      <c r="J449" s="1">
        <v>3.8</v>
      </c>
      <c r="K449" s="8" t="s">
        <v>667</v>
      </c>
      <c r="L449" s="8">
        <v>2026</v>
      </c>
    </row>
    <row r="450" spans="1:12">
      <c r="A450" t="s">
        <v>590</v>
      </c>
      <c r="B450" t="s">
        <v>376</v>
      </c>
      <c r="C450" t="s">
        <v>16</v>
      </c>
      <c r="D450" t="s">
        <v>14</v>
      </c>
      <c r="E450">
        <v>3</v>
      </c>
      <c r="F450">
        <v>23080</v>
      </c>
      <c r="G450">
        <f t="shared" si="6"/>
        <v>69240</v>
      </c>
      <c r="H450" t="s">
        <v>74</v>
      </c>
      <c r="I450" s="14" t="s">
        <v>65</v>
      </c>
      <c r="J450" s="1">
        <v>4.7</v>
      </c>
      <c r="K450" s="8" t="s">
        <v>676</v>
      </c>
      <c r="L450" s="8">
        <v>2026</v>
      </c>
    </row>
    <row r="451" spans="1:12">
      <c r="A451" t="s">
        <v>591</v>
      </c>
      <c r="B451" t="s">
        <v>102</v>
      </c>
      <c r="C451" t="s">
        <v>16</v>
      </c>
      <c r="D451" t="s">
        <v>14</v>
      </c>
      <c r="E451">
        <v>1</v>
      </c>
      <c r="F451">
        <v>26109</v>
      </c>
      <c r="G451">
        <f t="shared" ref="G451:G501" si="7">SUM(F451*E451)</f>
        <v>26109</v>
      </c>
      <c r="H451" t="s">
        <v>9</v>
      </c>
      <c r="I451" s="14" t="s">
        <v>30</v>
      </c>
      <c r="J451" s="1">
        <v>4.8</v>
      </c>
      <c r="K451" s="8" t="s">
        <v>673</v>
      </c>
      <c r="L451" s="8">
        <v>2026</v>
      </c>
    </row>
    <row r="452" spans="1:12">
      <c r="A452" t="s">
        <v>592</v>
      </c>
      <c r="B452" t="s">
        <v>267</v>
      </c>
      <c r="C452" t="s">
        <v>52</v>
      </c>
      <c r="D452" t="s">
        <v>11</v>
      </c>
      <c r="E452">
        <v>2</v>
      </c>
      <c r="F452">
        <v>43294</v>
      </c>
      <c r="G452">
        <f t="shared" si="7"/>
        <v>86588</v>
      </c>
      <c r="H452" t="s">
        <v>27</v>
      </c>
      <c r="I452" s="14" t="s">
        <v>65</v>
      </c>
      <c r="J452" s="1">
        <v>3.2</v>
      </c>
      <c r="K452" s="8" t="s">
        <v>673</v>
      </c>
      <c r="L452" s="8">
        <v>2026</v>
      </c>
    </row>
    <row r="453" spans="1:12">
      <c r="A453" t="s">
        <v>593</v>
      </c>
      <c r="B453" t="s">
        <v>29</v>
      </c>
      <c r="C453" t="s">
        <v>13</v>
      </c>
      <c r="D453" t="s">
        <v>14</v>
      </c>
      <c r="E453">
        <v>2</v>
      </c>
      <c r="F453">
        <v>4365</v>
      </c>
      <c r="G453">
        <f t="shared" si="7"/>
        <v>8730</v>
      </c>
      <c r="H453" t="s">
        <v>46</v>
      </c>
      <c r="I453" s="14" t="s">
        <v>30</v>
      </c>
      <c r="J453" s="1">
        <v>4</v>
      </c>
      <c r="K453" s="8" t="s">
        <v>674</v>
      </c>
      <c r="L453" s="8">
        <v>2026</v>
      </c>
    </row>
    <row r="454" spans="1:12">
      <c r="A454" t="s">
        <v>594</v>
      </c>
      <c r="B454" t="s">
        <v>122</v>
      </c>
      <c r="C454" t="s">
        <v>10</v>
      </c>
      <c r="D454" t="s">
        <v>11</v>
      </c>
      <c r="E454">
        <v>2</v>
      </c>
      <c r="F454">
        <v>24921</v>
      </c>
      <c r="G454">
        <f t="shared" si="7"/>
        <v>49842</v>
      </c>
      <c r="H454" t="s">
        <v>35</v>
      </c>
      <c r="I454" s="14" t="s">
        <v>40</v>
      </c>
      <c r="J454" s="1">
        <v>4</v>
      </c>
      <c r="K454" s="8" t="s">
        <v>674</v>
      </c>
      <c r="L454" s="8">
        <v>2026</v>
      </c>
    </row>
    <row r="455" spans="1:12">
      <c r="A455" t="s">
        <v>595</v>
      </c>
      <c r="B455" t="s">
        <v>225</v>
      </c>
      <c r="C455" t="s">
        <v>12</v>
      </c>
      <c r="D455" s="9" t="s">
        <v>7</v>
      </c>
      <c r="E455">
        <v>1</v>
      </c>
      <c r="F455">
        <v>4584</v>
      </c>
      <c r="G455">
        <f t="shared" si="7"/>
        <v>4584</v>
      </c>
      <c r="H455" t="s">
        <v>64</v>
      </c>
      <c r="I455" s="14" t="s">
        <v>43</v>
      </c>
      <c r="J455" s="1">
        <v>3</v>
      </c>
      <c r="K455" s="8" t="s">
        <v>663</v>
      </c>
      <c r="L455" s="8">
        <v>2026</v>
      </c>
    </row>
    <row r="456" spans="1:12">
      <c r="A456" t="s">
        <v>596</v>
      </c>
      <c r="B456" t="s">
        <v>205</v>
      </c>
      <c r="C456" t="s">
        <v>52</v>
      </c>
      <c r="D456" t="s">
        <v>11</v>
      </c>
      <c r="E456">
        <v>5</v>
      </c>
      <c r="F456">
        <v>20166</v>
      </c>
      <c r="G456">
        <f t="shared" si="7"/>
        <v>100830</v>
      </c>
      <c r="H456" t="s">
        <v>64</v>
      </c>
      <c r="I456" s="14" t="s">
        <v>40</v>
      </c>
      <c r="J456" s="1">
        <v>3.7</v>
      </c>
      <c r="K456" s="8" t="s">
        <v>674</v>
      </c>
      <c r="L456" s="8">
        <v>2026</v>
      </c>
    </row>
    <row r="457" spans="1:12">
      <c r="A457" t="s">
        <v>597</v>
      </c>
      <c r="B457" t="s">
        <v>69</v>
      </c>
      <c r="C457" t="s">
        <v>10</v>
      </c>
      <c r="D457" t="s">
        <v>11</v>
      </c>
      <c r="E457">
        <v>4</v>
      </c>
      <c r="F457">
        <v>47216</v>
      </c>
      <c r="G457">
        <f t="shared" si="7"/>
        <v>188864</v>
      </c>
      <c r="H457" t="s">
        <v>64</v>
      </c>
      <c r="I457" s="14" t="s">
        <v>8</v>
      </c>
      <c r="J457" s="1">
        <v>3.4</v>
      </c>
      <c r="K457" s="8" t="s">
        <v>667</v>
      </c>
      <c r="L457" s="8">
        <v>2026</v>
      </c>
    </row>
    <row r="458" spans="1:12">
      <c r="A458" t="s">
        <v>598</v>
      </c>
      <c r="B458" t="s">
        <v>384</v>
      </c>
      <c r="C458" t="s">
        <v>79</v>
      </c>
      <c r="D458" t="s">
        <v>80</v>
      </c>
      <c r="E458">
        <v>2</v>
      </c>
      <c r="F458">
        <v>21403</v>
      </c>
      <c r="G458">
        <f t="shared" si="7"/>
        <v>42806</v>
      </c>
      <c r="H458" t="s">
        <v>9</v>
      </c>
      <c r="I458" s="14" t="s">
        <v>40</v>
      </c>
      <c r="J458" s="1">
        <v>4.7</v>
      </c>
      <c r="K458" s="8" t="s">
        <v>667</v>
      </c>
      <c r="L458" s="8">
        <v>2026</v>
      </c>
    </row>
    <row r="459" spans="1:12">
      <c r="A459" t="s">
        <v>599</v>
      </c>
      <c r="B459" t="s">
        <v>363</v>
      </c>
      <c r="C459" t="s">
        <v>12</v>
      </c>
      <c r="D459" s="9" t="s">
        <v>7</v>
      </c>
      <c r="E459">
        <v>2</v>
      </c>
      <c r="F459">
        <v>21839</v>
      </c>
      <c r="G459">
        <f t="shared" si="7"/>
        <v>43678</v>
      </c>
      <c r="H459" t="s">
        <v>46</v>
      </c>
      <c r="I459" s="14" t="s">
        <v>8</v>
      </c>
      <c r="J459" s="1">
        <v>4.8</v>
      </c>
      <c r="K459" s="8" t="s">
        <v>663</v>
      </c>
      <c r="L459" s="8">
        <v>2026</v>
      </c>
    </row>
    <row r="460" spans="1:12">
      <c r="A460" t="s">
        <v>600</v>
      </c>
      <c r="B460" t="s">
        <v>102</v>
      </c>
      <c r="C460" t="s">
        <v>12</v>
      </c>
      <c r="D460" s="9" t="s">
        <v>7</v>
      </c>
      <c r="E460">
        <v>4</v>
      </c>
      <c r="F460">
        <v>24704</v>
      </c>
      <c r="G460">
        <f t="shared" si="7"/>
        <v>98816</v>
      </c>
      <c r="H460" t="s">
        <v>64</v>
      </c>
      <c r="I460" s="14" t="s">
        <v>65</v>
      </c>
      <c r="J460" s="1">
        <v>3.5</v>
      </c>
      <c r="K460" s="8" t="s">
        <v>674</v>
      </c>
      <c r="L460" s="8">
        <v>2026</v>
      </c>
    </row>
    <row r="461" spans="1:12">
      <c r="A461" t="s">
        <v>601</v>
      </c>
      <c r="B461" t="s">
        <v>213</v>
      </c>
      <c r="C461" t="s">
        <v>55</v>
      </c>
      <c r="D461" t="s">
        <v>56</v>
      </c>
      <c r="E461">
        <v>3</v>
      </c>
      <c r="F461">
        <v>47795</v>
      </c>
      <c r="G461">
        <f t="shared" si="7"/>
        <v>143385</v>
      </c>
      <c r="H461" t="s">
        <v>49</v>
      </c>
      <c r="I461" s="14" t="s">
        <v>40</v>
      </c>
      <c r="J461" s="1">
        <v>4.3</v>
      </c>
      <c r="K461" s="8" t="s">
        <v>674</v>
      </c>
      <c r="L461" s="8">
        <v>2026</v>
      </c>
    </row>
    <row r="462" spans="1:12">
      <c r="A462" t="s">
        <v>602</v>
      </c>
      <c r="B462" t="s">
        <v>213</v>
      </c>
      <c r="C462" t="s">
        <v>6</v>
      </c>
      <c r="D462" s="9" t="s">
        <v>7</v>
      </c>
      <c r="E462">
        <v>5</v>
      </c>
      <c r="F462">
        <v>1675</v>
      </c>
      <c r="G462">
        <f t="shared" si="7"/>
        <v>8375</v>
      </c>
      <c r="H462" t="s">
        <v>64</v>
      </c>
      <c r="I462" s="14" t="s">
        <v>8</v>
      </c>
      <c r="J462" s="1">
        <v>3.3</v>
      </c>
      <c r="K462" s="8" t="s">
        <v>667</v>
      </c>
      <c r="L462" s="8">
        <v>2026</v>
      </c>
    </row>
    <row r="463" spans="1:12">
      <c r="A463" t="s">
        <v>603</v>
      </c>
      <c r="B463" t="s">
        <v>100</v>
      </c>
      <c r="C463" t="s">
        <v>55</v>
      </c>
      <c r="D463" t="s">
        <v>56</v>
      </c>
      <c r="E463">
        <v>4</v>
      </c>
      <c r="F463">
        <v>20913</v>
      </c>
      <c r="G463">
        <f t="shared" si="7"/>
        <v>83652</v>
      </c>
      <c r="H463" t="s">
        <v>46</v>
      </c>
      <c r="I463" s="14" t="s">
        <v>8</v>
      </c>
      <c r="J463" s="1">
        <v>4.4000000000000004</v>
      </c>
      <c r="K463" s="8" t="s">
        <v>663</v>
      </c>
      <c r="L463" s="8">
        <v>2026</v>
      </c>
    </row>
    <row r="464" spans="1:12">
      <c r="A464" t="s">
        <v>604</v>
      </c>
      <c r="B464" t="s">
        <v>124</v>
      </c>
      <c r="C464" t="s">
        <v>12</v>
      </c>
      <c r="D464" s="9" t="s">
        <v>7</v>
      </c>
      <c r="E464">
        <v>3</v>
      </c>
      <c r="F464">
        <v>29849</v>
      </c>
      <c r="G464">
        <f t="shared" si="7"/>
        <v>89547</v>
      </c>
      <c r="H464" t="s">
        <v>27</v>
      </c>
      <c r="I464" s="14" t="s">
        <v>40</v>
      </c>
      <c r="J464" s="1">
        <v>4.5</v>
      </c>
      <c r="K464" s="8" t="s">
        <v>674</v>
      </c>
      <c r="L464" s="8">
        <v>2026</v>
      </c>
    </row>
    <row r="465" spans="1:12">
      <c r="A465" t="s">
        <v>605</v>
      </c>
      <c r="B465" t="s">
        <v>190</v>
      </c>
      <c r="C465" t="s">
        <v>10</v>
      </c>
      <c r="D465" t="s">
        <v>11</v>
      </c>
      <c r="E465">
        <v>1</v>
      </c>
      <c r="F465">
        <v>48327</v>
      </c>
      <c r="G465">
        <f t="shared" si="7"/>
        <v>48327</v>
      </c>
      <c r="H465" t="s">
        <v>64</v>
      </c>
      <c r="I465" s="14" t="s">
        <v>65</v>
      </c>
      <c r="J465" s="1">
        <v>4.7</v>
      </c>
      <c r="K465" s="8" t="s">
        <v>674</v>
      </c>
      <c r="L465" s="8">
        <v>2026</v>
      </c>
    </row>
    <row r="466" spans="1:12">
      <c r="A466" t="s">
        <v>606</v>
      </c>
      <c r="B466" t="s">
        <v>190</v>
      </c>
      <c r="C466" t="s">
        <v>15</v>
      </c>
      <c r="D466" s="9" t="s">
        <v>7</v>
      </c>
      <c r="E466">
        <v>3</v>
      </c>
      <c r="F466">
        <v>30609</v>
      </c>
      <c r="G466">
        <f t="shared" si="7"/>
        <v>91827</v>
      </c>
      <c r="H466" t="s">
        <v>74</v>
      </c>
      <c r="I466" s="14" t="s">
        <v>8</v>
      </c>
      <c r="J466" s="1">
        <v>4.8</v>
      </c>
      <c r="K466" s="8" t="s">
        <v>675</v>
      </c>
      <c r="L466" s="8">
        <v>2026</v>
      </c>
    </row>
    <row r="467" spans="1:12">
      <c r="A467" t="s">
        <v>607</v>
      </c>
      <c r="B467" t="s">
        <v>51</v>
      </c>
      <c r="C467" t="s">
        <v>6</v>
      </c>
      <c r="D467" s="9" t="s">
        <v>7</v>
      </c>
      <c r="E467">
        <v>1</v>
      </c>
      <c r="F467">
        <v>14184</v>
      </c>
      <c r="G467">
        <f t="shared" si="7"/>
        <v>14184</v>
      </c>
      <c r="H467" t="s">
        <v>64</v>
      </c>
      <c r="I467" s="14" t="s">
        <v>65</v>
      </c>
      <c r="J467" s="1">
        <v>4.8</v>
      </c>
      <c r="K467" s="8" t="s">
        <v>663</v>
      </c>
      <c r="L467" s="8">
        <v>2026</v>
      </c>
    </row>
    <row r="468" spans="1:12">
      <c r="A468" t="s">
        <v>608</v>
      </c>
      <c r="B468" t="s">
        <v>257</v>
      </c>
      <c r="C468" t="s">
        <v>13</v>
      </c>
      <c r="D468" t="s">
        <v>14</v>
      </c>
      <c r="E468">
        <v>1</v>
      </c>
      <c r="F468">
        <v>2110</v>
      </c>
      <c r="G468">
        <f t="shared" si="7"/>
        <v>2110</v>
      </c>
      <c r="H468" t="s">
        <v>64</v>
      </c>
      <c r="I468" s="14" t="s">
        <v>30</v>
      </c>
      <c r="J468" s="1">
        <v>4.8</v>
      </c>
      <c r="K468" s="8" t="s">
        <v>667</v>
      </c>
      <c r="L468" s="8">
        <v>2026</v>
      </c>
    </row>
    <row r="469" spans="1:12">
      <c r="A469" t="s">
        <v>609</v>
      </c>
      <c r="B469" t="s">
        <v>203</v>
      </c>
      <c r="C469" t="s">
        <v>26</v>
      </c>
      <c r="D469" s="9" t="s">
        <v>7</v>
      </c>
      <c r="E469">
        <v>3</v>
      </c>
      <c r="F469">
        <v>37417</v>
      </c>
      <c r="G469">
        <f t="shared" si="7"/>
        <v>112251</v>
      </c>
      <c r="H469" t="s">
        <v>74</v>
      </c>
      <c r="I469" s="14" t="s">
        <v>40</v>
      </c>
      <c r="J469" s="1">
        <v>3.3</v>
      </c>
      <c r="K469" s="8" t="s">
        <v>674</v>
      </c>
      <c r="L469" s="8">
        <v>2026</v>
      </c>
    </row>
    <row r="470" spans="1:12">
      <c r="A470" t="s">
        <v>610</v>
      </c>
      <c r="B470" t="s">
        <v>267</v>
      </c>
      <c r="C470" t="s">
        <v>105</v>
      </c>
      <c r="D470" t="s">
        <v>106</v>
      </c>
      <c r="E470">
        <v>3</v>
      </c>
      <c r="F470">
        <v>13906</v>
      </c>
      <c r="G470">
        <f t="shared" si="7"/>
        <v>41718</v>
      </c>
      <c r="H470" t="s">
        <v>74</v>
      </c>
      <c r="I470" s="14" t="s">
        <v>30</v>
      </c>
      <c r="J470" s="1">
        <v>3.8</v>
      </c>
      <c r="K470" s="8" t="s">
        <v>663</v>
      </c>
      <c r="L470" s="8">
        <v>2026</v>
      </c>
    </row>
    <row r="471" spans="1:12">
      <c r="A471" t="s">
        <v>611</v>
      </c>
      <c r="B471" t="s">
        <v>205</v>
      </c>
      <c r="C471" t="s">
        <v>12</v>
      </c>
      <c r="D471" s="9" t="s">
        <v>7</v>
      </c>
      <c r="E471">
        <v>3</v>
      </c>
      <c r="F471">
        <v>8085</v>
      </c>
      <c r="G471">
        <f t="shared" si="7"/>
        <v>24255</v>
      </c>
      <c r="H471" t="s">
        <v>74</v>
      </c>
      <c r="I471" s="14" t="s">
        <v>40</v>
      </c>
      <c r="J471" s="1">
        <v>3</v>
      </c>
      <c r="K471" s="8" t="s">
        <v>673</v>
      </c>
      <c r="L471" s="8">
        <v>2026</v>
      </c>
    </row>
    <row r="472" spans="1:12">
      <c r="A472" t="s">
        <v>612</v>
      </c>
      <c r="B472" t="s">
        <v>376</v>
      </c>
      <c r="C472" t="s">
        <v>79</v>
      </c>
      <c r="D472" t="s">
        <v>80</v>
      </c>
      <c r="E472">
        <v>5</v>
      </c>
      <c r="F472">
        <v>42695</v>
      </c>
      <c r="G472">
        <f t="shared" si="7"/>
        <v>213475</v>
      </c>
      <c r="H472" t="s">
        <v>9</v>
      </c>
      <c r="I472" s="14" t="s">
        <v>8</v>
      </c>
      <c r="J472" s="1">
        <v>5</v>
      </c>
      <c r="K472" s="8" t="s">
        <v>673</v>
      </c>
      <c r="L472" s="8">
        <v>2026</v>
      </c>
    </row>
    <row r="473" spans="1:12">
      <c r="A473" t="s">
        <v>613</v>
      </c>
      <c r="B473" t="s">
        <v>293</v>
      </c>
      <c r="C473" t="s">
        <v>16</v>
      </c>
      <c r="D473" t="s">
        <v>14</v>
      </c>
      <c r="E473">
        <v>3</v>
      </c>
      <c r="F473">
        <v>4794</v>
      </c>
      <c r="G473">
        <f t="shared" si="7"/>
        <v>14382</v>
      </c>
      <c r="H473" t="s">
        <v>35</v>
      </c>
      <c r="I473" s="14" t="s">
        <v>65</v>
      </c>
      <c r="J473" s="1">
        <v>3</v>
      </c>
      <c r="K473" s="8" t="s">
        <v>667</v>
      </c>
      <c r="L473" s="8">
        <v>2026</v>
      </c>
    </row>
    <row r="474" spans="1:12">
      <c r="A474" t="s">
        <v>614</v>
      </c>
      <c r="B474" t="s">
        <v>237</v>
      </c>
      <c r="C474" t="s">
        <v>52</v>
      </c>
      <c r="D474" t="s">
        <v>11</v>
      </c>
      <c r="E474">
        <v>1</v>
      </c>
      <c r="F474">
        <v>17961</v>
      </c>
      <c r="G474">
        <f t="shared" si="7"/>
        <v>17961</v>
      </c>
      <c r="H474" t="s">
        <v>46</v>
      </c>
      <c r="I474" s="14" t="s">
        <v>43</v>
      </c>
      <c r="J474" s="1">
        <v>4.7</v>
      </c>
      <c r="K474" s="8" t="s">
        <v>667</v>
      </c>
      <c r="L474" s="8">
        <v>2026</v>
      </c>
    </row>
    <row r="475" spans="1:12">
      <c r="A475" t="s">
        <v>615</v>
      </c>
      <c r="B475" t="s">
        <v>186</v>
      </c>
      <c r="C475" t="s">
        <v>55</v>
      </c>
      <c r="D475" t="s">
        <v>56</v>
      </c>
      <c r="E475">
        <v>2</v>
      </c>
      <c r="F475">
        <v>18761</v>
      </c>
      <c r="G475">
        <f t="shared" si="7"/>
        <v>37522</v>
      </c>
      <c r="H475" t="s">
        <v>9</v>
      </c>
      <c r="I475" s="14" t="s">
        <v>65</v>
      </c>
      <c r="J475" s="1">
        <v>4.7</v>
      </c>
      <c r="K475" s="8" t="s">
        <v>667</v>
      </c>
      <c r="L475" s="8">
        <v>2026</v>
      </c>
    </row>
    <row r="476" spans="1:12">
      <c r="A476" t="s">
        <v>616</v>
      </c>
      <c r="B476" t="s">
        <v>102</v>
      </c>
      <c r="C476" t="s">
        <v>52</v>
      </c>
      <c r="D476" t="s">
        <v>11</v>
      </c>
      <c r="E476">
        <v>2</v>
      </c>
      <c r="F476">
        <v>37870</v>
      </c>
      <c r="G476">
        <f t="shared" si="7"/>
        <v>75740</v>
      </c>
      <c r="H476" t="s">
        <v>64</v>
      </c>
      <c r="I476" s="14" t="s">
        <v>8</v>
      </c>
      <c r="J476" s="1">
        <v>3.8</v>
      </c>
      <c r="K476" s="8" t="s">
        <v>663</v>
      </c>
      <c r="L476" s="8">
        <v>2026</v>
      </c>
    </row>
    <row r="477" spans="1:12">
      <c r="A477" t="s">
        <v>617</v>
      </c>
      <c r="B477" t="s">
        <v>147</v>
      </c>
      <c r="C477" t="s">
        <v>10</v>
      </c>
      <c r="D477" t="s">
        <v>11</v>
      </c>
      <c r="E477">
        <v>2</v>
      </c>
      <c r="F477">
        <v>752</v>
      </c>
      <c r="G477">
        <f t="shared" si="7"/>
        <v>1504</v>
      </c>
      <c r="H477" t="s">
        <v>27</v>
      </c>
      <c r="I477" s="14" t="s">
        <v>30</v>
      </c>
      <c r="J477" s="1">
        <v>3.7</v>
      </c>
      <c r="K477" s="8" t="s">
        <v>674</v>
      </c>
      <c r="L477" s="8">
        <v>2026</v>
      </c>
    </row>
    <row r="478" spans="1:12">
      <c r="A478" t="s">
        <v>618</v>
      </c>
      <c r="B478" t="s">
        <v>122</v>
      </c>
      <c r="C478" t="s">
        <v>59</v>
      </c>
      <c r="D478" s="9" t="s">
        <v>7</v>
      </c>
      <c r="E478">
        <v>1</v>
      </c>
      <c r="F478">
        <v>31143</v>
      </c>
      <c r="G478">
        <f t="shared" si="7"/>
        <v>31143</v>
      </c>
      <c r="H478" t="s">
        <v>9</v>
      </c>
      <c r="I478" s="14" t="s">
        <v>40</v>
      </c>
      <c r="J478" s="1">
        <v>4.7</v>
      </c>
      <c r="K478" s="8" t="s">
        <v>663</v>
      </c>
      <c r="L478" s="8">
        <v>2026</v>
      </c>
    </row>
    <row r="479" spans="1:12">
      <c r="A479" t="s">
        <v>619</v>
      </c>
      <c r="B479" t="s">
        <v>173</v>
      </c>
      <c r="C479" t="s">
        <v>105</v>
      </c>
      <c r="D479" t="s">
        <v>106</v>
      </c>
      <c r="E479">
        <v>1</v>
      </c>
      <c r="F479">
        <v>4338</v>
      </c>
      <c r="G479">
        <f t="shared" si="7"/>
        <v>4338</v>
      </c>
      <c r="H479" t="s">
        <v>46</v>
      </c>
      <c r="I479" s="14" t="s">
        <v>43</v>
      </c>
      <c r="J479" s="1">
        <v>4</v>
      </c>
      <c r="K479" s="8" t="s">
        <v>663</v>
      </c>
      <c r="L479" s="8">
        <v>2026</v>
      </c>
    </row>
    <row r="480" spans="1:12">
      <c r="A480" t="s">
        <v>620</v>
      </c>
      <c r="B480" t="s">
        <v>119</v>
      </c>
      <c r="C480" t="s">
        <v>15</v>
      </c>
      <c r="D480" s="9" t="s">
        <v>7</v>
      </c>
      <c r="E480">
        <v>3</v>
      </c>
      <c r="F480">
        <v>47266</v>
      </c>
      <c r="G480">
        <f t="shared" si="7"/>
        <v>141798</v>
      </c>
      <c r="H480" t="s">
        <v>64</v>
      </c>
      <c r="I480" s="14" t="s">
        <v>8</v>
      </c>
      <c r="J480" s="1">
        <v>3.5</v>
      </c>
      <c r="K480" s="8" t="s">
        <v>663</v>
      </c>
      <c r="L480" s="8">
        <v>2026</v>
      </c>
    </row>
    <row r="481" spans="1:12">
      <c r="A481" t="s">
        <v>621</v>
      </c>
      <c r="B481" t="s">
        <v>163</v>
      </c>
      <c r="C481" t="s">
        <v>26</v>
      </c>
      <c r="D481" s="9" t="s">
        <v>7</v>
      </c>
      <c r="E481">
        <v>1</v>
      </c>
      <c r="F481">
        <v>19616</v>
      </c>
      <c r="G481">
        <f t="shared" si="7"/>
        <v>19616</v>
      </c>
      <c r="H481" t="s">
        <v>27</v>
      </c>
      <c r="I481" s="14" t="s">
        <v>65</v>
      </c>
      <c r="J481" s="1">
        <v>3.4</v>
      </c>
      <c r="K481" s="8" t="s">
        <v>673</v>
      </c>
      <c r="L481" s="8">
        <v>2026</v>
      </c>
    </row>
    <row r="482" spans="1:12">
      <c r="A482" t="s">
        <v>622</v>
      </c>
      <c r="B482" t="s">
        <v>248</v>
      </c>
      <c r="C482" t="s">
        <v>13</v>
      </c>
      <c r="D482" t="s">
        <v>14</v>
      </c>
      <c r="E482">
        <v>3</v>
      </c>
      <c r="F482">
        <v>35247</v>
      </c>
      <c r="G482">
        <f t="shared" si="7"/>
        <v>105741</v>
      </c>
      <c r="H482" t="s">
        <v>74</v>
      </c>
      <c r="I482" s="14" t="s">
        <v>40</v>
      </c>
      <c r="J482" s="1">
        <v>3.4</v>
      </c>
      <c r="K482" s="8" t="s">
        <v>667</v>
      </c>
      <c r="L482" s="8">
        <v>2026</v>
      </c>
    </row>
    <row r="483" spans="1:12">
      <c r="A483" t="s">
        <v>623</v>
      </c>
      <c r="B483" t="s">
        <v>54</v>
      </c>
      <c r="C483" t="s">
        <v>16</v>
      </c>
      <c r="D483" t="s">
        <v>14</v>
      </c>
      <c r="E483">
        <v>2</v>
      </c>
      <c r="F483">
        <v>14056</v>
      </c>
      <c r="G483">
        <f t="shared" si="7"/>
        <v>28112</v>
      </c>
      <c r="H483" t="s">
        <v>9</v>
      </c>
      <c r="I483" s="14" t="s">
        <v>65</v>
      </c>
      <c r="J483" s="1">
        <v>4.2</v>
      </c>
      <c r="K483" s="8" t="s">
        <v>675</v>
      </c>
      <c r="L483" s="8">
        <v>2026</v>
      </c>
    </row>
    <row r="484" spans="1:12">
      <c r="A484" t="s">
        <v>624</v>
      </c>
      <c r="B484" t="s">
        <v>157</v>
      </c>
      <c r="C484" t="s">
        <v>105</v>
      </c>
      <c r="D484" t="s">
        <v>106</v>
      </c>
      <c r="E484">
        <v>5</v>
      </c>
      <c r="F484">
        <v>10710</v>
      </c>
      <c r="G484">
        <f t="shared" si="7"/>
        <v>53550</v>
      </c>
      <c r="H484" t="s">
        <v>74</v>
      </c>
      <c r="I484" s="14" t="s">
        <v>30</v>
      </c>
      <c r="J484" s="1">
        <v>3.9</v>
      </c>
      <c r="K484" s="8" t="s">
        <v>676</v>
      </c>
      <c r="L484" s="8">
        <v>2026</v>
      </c>
    </row>
    <row r="485" spans="1:12">
      <c r="A485" t="s">
        <v>625</v>
      </c>
      <c r="B485" t="s">
        <v>173</v>
      </c>
      <c r="C485" t="s">
        <v>12</v>
      </c>
      <c r="D485" s="9" t="s">
        <v>7</v>
      </c>
      <c r="E485">
        <v>2</v>
      </c>
      <c r="F485">
        <v>22345</v>
      </c>
      <c r="G485">
        <f t="shared" si="7"/>
        <v>44690</v>
      </c>
      <c r="H485" t="s">
        <v>49</v>
      </c>
      <c r="I485" s="14" t="s">
        <v>8</v>
      </c>
      <c r="J485" s="1">
        <v>4.2</v>
      </c>
      <c r="K485" s="8" t="s">
        <v>663</v>
      </c>
      <c r="L485" s="8">
        <v>2026</v>
      </c>
    </row>
    <row r="486" spans="1:12">
      <c r="A486" t="s">
        <v>626</v>
      </c>
      <c r="B486" t="s">
        <v>25</v>
      </c>
      <c r="C486" t="s">
        <v>59</v>
      </c>
      <c r="D486" s="9" t="s">
        <v>7</v>
      </c>
      <c r="E486">
        <v>2</v>
      </c>
      <c r="F486">
        <v>15713</v>
      </c>
      <c r="G486">
        <f t="shared" si="7"/>
        <v>31426</v>
      </c>
      <c r="H486" t="s">
        <v>9</v>
      </c>
      <c r="I486" s="14" t="s">
        <v>40</v>
      </c>
      <c r="J486" s="1">
        <v>3.7</v>
      </c>
      <c r="K486" s="8" t="s">
        <v>673</v>
      </c>
      <c r="L486" s="8">
        <v>2026</v>
      </c>
    </row>
    <row r="487" spans="1:12">
      <c r="A487" t="s">
        <v>627</v>
      </c>
      <c r="B487" t="s">
        <v>264</v>
      </c>
      <c r="C487" t="s">
        <v>6</v>
      </c>
      <c r="D487" s="9" t="s">
        <v>7</v>
      </c>
      <c r="E487">
        <v>1</v>
      </c>
      <c r="F487">
        <v>30560</v>
      </c>
      <c r="G487">
        <f t="shared" si="7"/>
        <v>30560</v>
      </c>
      <c r="H487" t="s">
        <v>64</v>
      </c>
      <c r="I487" s="14" t="s">
        <v>8</v>
      </c>
      <c r="J487" s="1">
        <v>3.7</v>
      </c>
      <c r="K487" s="8" t="s">
        <v>663</v>
      </c>
      <c r="L487" s="8">
        <v>2026</v>
      </c>
    </row>
    <row r="488" spans="1:12">
      <c r="A488" t="s">
        <v>628</v>
      </c>
      <c r="B488" t="s">
        <v>93</v>
      </c>
      <c r="C488" t="s">
        <v>15</v>
      </c>
      <c r="D488" s="9" t="s">
        <v>7</v>
      </c>
      <c r="E488">
        <v>5</v>
      </c>
      <c r="F488">
        <v>14259</v>
      </c>
      <c r="G488">
        <f t="shared" si="7"/>
        <v>71295</v>
      </c>
      <c r="H488" t="s">
        <v>46</v>
      </c>
      <c r="I488" s="14" t="s">
        <v>65</v>
      </c>
      <c r="J488" s="1">
        <v>3.7</v>
      </c>
      <c r="K488" s="8" t="s">
        <v>675</v>
      </c>
      <c r="L488" s="8">
        <v>2026</v>
      </c>
    </row>
    <row r="489" spans="1:12">
      <c r="A489" t="s">
        <v>629</v>
      </c>
      <c r="B489" t="s">
        <v>78</v>
      </c>
      <c r="C489" t="s">
        <v>52</v>
      </c>
      <c r="D489" t="s">
        <v>11</v>
      </c>
      <c r="E489">
        <v>2</v>
      </c>
      <c r="F489">
        <v>13417</v>
      </c>
      <c r="G489">
        <f t="shared" si="7"/>
        <v>26834</v>
      </c>
      <c r="H489" t="s">
        <v>46</v>
      </c>
      <c r="I489" s="14" t="s">
        <v>65</v>
      </c>
      <c r="J489" s="1">
        <v>3.5</v>
      </c>
      <c r="K489" s="8" t="s">
        <v>663</v>
      </c>
      <c r="L489" s="8">
        <v>2026</v>
      </c>
    </row>
    <row r="490" spans="1:12">
      <c r="A490" t="s">
        <v>630</v>
      </c>
      <c r="B490" t="s">
        <v>82</v>
      </c>
      <c r="C490" t="s">
        <v>52</v>
      </c>
      <c r="D490" t="s">
        <v>11</v>
      </c>
      <c r="E490">
        <v>1</v>
      </c>
      <c r="F490">
        <v>39101</v>
      </c>
      <c r="G490">
        <f t="shared" si="7"/>
        <v>39101</v>
      </c>
      <c r="H490" t="s">
        <v>49</v>
      </c>
      <c r="I490" s="14" t="s">
        <v>40</v>
      </c>
      <c r="J490" s="1">
        <v>4.7</v>
      </c>
      <c r="K490" s="8" t="s">
        <v>667</v>
      </c>
      <c r="L490" s="8">
        <v>2026</v>
      </c>
    </row>
    <row r="491" spans="1:12">
      <c r="A491" t="s">
        <v>631</v>
      </c>
      <c r="B491" t="s">
        <v>283</v>
      </c>
      <c r="C491" t="s">
        <v>13</v>
      </c>
      <c r="D491" t="s">
        <v>14</v>
      </c>
      <c r="E491">
        <v>5</v>
      </c>
      <c r="F491">
        <v>5574</v>
      </c>
      <c r="G491">
        <f t="shared" si="7"/>
        <v>27870</v>
      </c>
      <c r="H491" t="s">
        <v>64</v>
      </c>
      <c r="I491" s="14" t="s">
        <v>8</v>
      </c>
      <c r="J491" s="1">
        <v>4.0999999999999996</v>
      </c>
      <c r="K491" s="8" t="s">
        <v>673</v>
      </c>
      <c r="L491" s="8">
        <v>2026</v>
      </c>
    </row>
    <row r="492" spans="1:12">
      <c r="A492" t="s">
        <v>632</v>
      </c>
      <c r="B492" t="s">
        <v>384</v>
      </c>
      <c r="C492" t="s">
        <v>6</v>
      </c>
      <c r="D492" s="9" t="s">
        <v>7</v>
      </c>
      <c r="E492">
        <v>1</v>
      </c>
      <c r="F492">
        <v>23378</v>
      </c>
      <c r="G492">
        <f t="shared" si="7"/>
        <v>23378</v>
      </c>
      <c r="H492" t="s">
        <v>49</v>
      </c>
      <c r="I492" s="14" t="s">
        <v>65</v>
      </c>
      <c r="J492" s="1">
        <v>3.7</v>
      </c>
      <c r="K492" s="8" t="s">
        <v>674</v>
      </c>
      <c r="L492" s="8">
        <v>2026</v>
      </c>
    </row>
    <row r="493" spans="1:12">
      <c r="A493" t="s">
        <v>633</v>
      </c>
      <c r="B493" t="s">
        <v>122</v>
      </c>
      <c r="C493" t="s">
        <v>6</v>
      </c>
      <c r="D493" s="9" t="s">
        <v>7</v>
      </c>
      <c r="E493">
        <v>2</v>
      </c>
      <c r="F493">
        <v>45472</v>
      </c>
      <c r="G493">
        <f t="shared" si="7"/>
        <v>90944</v>
      </c>
      <c r="H493" t="s">
        <v>46</v>
      </c>
      <c r="I493" s="14" t="s">
        <v>8</v>
      </c>
      <c r="J493" s="1">
        <v>4.4000000000000004</v>
      </c>
      <c r="K493" s="8" t="s">
        <v>674</v>
      </c>
      <c r="L493" s="8">
        <v>2026</v>
      </c>
    </row>
    <row r="494" spans="1:12">
      <c r="A494" t="s">
        <v>634</v>
      </c>
      <c r="B494" t="s">
        <v>348</v>
      </c>
      <c r="C494" t="s">
        <v>13</v>
      </c>
      <c r="D494" t="s">
        <v>14</v>
      </c>
      <c r="E494">
        <v>1</v>
      </c>
      <c r="F494">
        <v>6902</v>
      </c>
      <c r="G494">
        <f t="shared" si="7"/>
        <v>6902</v>
      </c>
      <c r="H494" t="s">
        <v>46</v>
      </c>
      <c r="I494" s="14" t="s">
        <v>43</v>
      </c>
      <c r="J494" s="1">
        <v>3</v>
      </c>
      <c r="K494" s="8" t="s">
        <v>667</v>
      </c>
      <c r="L494" s="8">
        <v>2026</v>
      </c>
    </row>
    <row r="495" spans="1:12">
      <c r="A495" t="s">
        <v>635</v>
      </c>
      <c r="B495" t="s">
        <v>95</v>
      </c>
      <c r="C495" t="s">
        <v>79</v>
      </c>
      <c r="D495" t="s">
        <v>80</v>
      </c>
      <c r="E495">
        <v>4</v>
      </c>
      <c r="F495">
        <v>13696</v>
      </c>
      <c r="G495">
        <f t="shared" si="7"/>
        <v>54784</v>
      </c>
      <c r="H495" t="s">
        <v>27</v>
      </c>
      <c r="I495" s="14" t="s">
        <v>40</v>
      </c>
      <c r="J495" s="1">
        <v>3.7</v>
      </c>
      <c r="K495" s="8" t="s">
        <v>663</v>
      </c>
      <c r="L495" s="8">
        <v>2026</v>
      </c>
    </row>
    <row r="496" spans="1:12">
      <c r="A496" t="s">
        <v>636</v>
      </c>
      <c r="B496" t="s">
        <v>225</v>
      </c>
      <c r="C496" t="s">
        <v>15</v>
      </c>
      <c r="D496" s="9" t="s">
        <v>7</v>
      </c>
      <c r="E496">
        <v>3</v>
      </c>
      <c r="F496">
        <v>8479</v>
      </c>
      <c r="G496">
        <f t="shared" si="7"/>
        <v>25437</v>
      </c>
      <c r="H496" t="s">
        <v>9</v>
      </c>
      <c r="I496" s="14" t="s">
        <v>43</v>
      </c>
      <c r="J496" s="1">
        <v>3.6</v>
      </c>
      <c r="K496" s="8" t="s">
        <v>675</v>
      </c>
      <c r="L496" s="8">
        <v>2026</v>
      </c>
    </row>
    <row r="497" spans="1:12">
      <c r="A497" t="s">
        <v>637</v>
      </c>
      <c r="B497" t="s">
        <v>122</v>
      </c>
      <c r="C497" t="s">
        <v>52</v>
      </c>
      <c r="D497" t="s">
        <v>11</v>
      </c>
      <c r="E497">
        <v>1</v>
      </c>
      <c r="F497">
        <v>39492</v>
      </c>
      <c r="G497">
        <f t="shared" si="7"/>
        <v>39492</v>
      </c>
      <c r="H497" t="s">
        <v>9</v>
      </c>
      <c r="I497" s="14" t="s">
        <v>30</v>
      </c>
      <c r="J497" s="1">
        <v>4.0999999999999996</v>
      </c>
      <c r="K497" s="8" t="s">
        <v>663</v>
      </c>
      <c r="L497" s="8">
        <v>2026</v>
      </c>
    </row>
    <row r="498" spans="1:12">
      <c r="A498" t="s">
        <v>638</v>
      </c>
      <c r="B498" t="s">
        <v>320</v>
      </c>
      <c r="C498" t="s">
        <v>26</v>
      </c>
      <c r="D498" s="9" t="s">
        <v>7</v>
      </c>
      <c r="E498">
        <v>2</v>
      </c>
      <c r="F498">
        <v>40123</v>
      </c>
      <c r="G498">
        <f t="shared" si="7"/>
        <v>80246</v>
      </c>
      <c r="H498" t="s">
        <v>9</v>
      </c>
      <c r="I498" s="14" t="s">
        <v>43</v>
      </c>
      <c r="J498" s="1">
        <v>4</v>
      </c>
      <c r="K498" s="8" t="s">
        <v>667</v>
      </c>
      <c r="L498" s="8">
        <v>2026</v>
      </c>
    </row>
    <row r="499" spans="1:12">
      <c r="A499" t="s">
        <v>639</v>
      </c>
      <c r="B499" t="s">
        <v>300</v>
      </c>
      <c r="C499" t="s">
        <v>6</v>
      </c>
      <c r="D499" s="9" t="s">
        <v>7</v>
      </c>
      <c r="E499">
        <v>2</v>
      </c>
      <c r="F499">
        <v>15181</v>
      </c>
      <c r="G499">
        <f t="shared" si="7"/>
        <v>30362</v>
      </c>
      <c r="H499" t="s">
        <v>9</v>
      </c>
      <c r="I499" s="14" t="s">
        <v>8</v>
      </c>
      <c r="J499" s="1">
        <v>3.9</v>
      </c>
      <c r="K499" s="8" t="s">
        <v>667</v>
      </c>
      <c r="L499" s="8">
        <v>2026</v>
      </c>
    </row>
    <row r="500" spans="1:12">
      <c r="A500" t="s">
        <v>640</v>
      </c>
      <c r="B500" t="s">
        <v>78</v>
      </c>
      <c r="C500" t="s">
        <v>52</v>
      </c>
      <c r="D500" t="s">
        <v>11</v>
      </c>
      <c r="E500">
        <v>4</v>
      </c>
      <c r="F500">
        <v>34426</v>
      </c>
      <c r="G500">
        <f t="shared" si="7"/>
        <v>137704</v>
      </c>
      <c r="H500" t="s">
        <v>74</v>
      </c>
      <c r="I500" s="14" t="s">
        <v>30</v>
      </c>
      <c r="J500" s="1">
        <v>4</v>
      </c>
      <c r="K500" s="8" t="s">
        <v>675</v>
      </c>
      <c r="L500" s="8">
        <v>2026</v>
      </c>
    </row>
    <row r="501" spans="1:12">
      <c r="A501" t="s">
        <v>641</v>
      </c>
      <c r="B501" t="s">
        <v>219</v>
      </c>
      <c r="C501" t="s">
        <v>105</v>
      </c>
      <c r="D501" t="s">
        <v>106</v>
      </c>
      <c r="E501">
        <v>4</v>
      </c>
      <c r="F501">
        <v>35958</v>
      </c>
      <c r="G501">
        <f t="shared" si="7"/>
        <v>143832</v>
      </c>
      <c r="H501" t="s">
        <v>46</v>
      </c>
      <c r="I501" s="14" t="s">
        <v>43</v>
      </c>
      <c r="J501" s="1">
        <v>4.2</v>
      </c>
      <c r="K501" s="8" t="s">
        <v>675</v>
      </c>
      <c r="L501" s="8">
        <v>2026</v>
      </c>
    </row>
  </sheetData>
  <conditionalFormatting sqref="A1:L501">
    <cfRule type="containsText" dxfId="6" priority="9" operator="containsText" text="Home">
      <formula>NOT(ISERROR(SEARCH("Home",A1)))</formula>
    </cfRule>
    <cfRule type="containsText" dxfId="5" priority="10" operator="containsText" text="Accessories">
      <formula>NOT(ISERROR(SEARCH("Accessories",A1)))</formula>
    </cfRule>
    <cfRule type="containsText" dxfId="4" priority="11" operator="containsText" text="Electronics">
      <formula>NOT(ISERROR(SEARCH("Electronics",A1)))</formula>
    </cfRule>
  </conditionalFormatting>
  <conditionalFormatting sqref="A1:XFD1048576">
    <cfRule type="containsText" dxfId="3" priority="8" operator="containsText" text="Education">
      <formula>NOT(ISERROR(SEARCH("Education",A1)))</formula>
    </cfRule>
  </conditionalFormatting>
  <conditionalFormatting sqref="E2:E501">
    <cfRule type="iconSet" priority="12">
      <iconSet iconSet="4Rating">
        <cfvo type="percent" val="0"/>
        <cfvo type="percent" val="25"/>
        <cfvo type="percent" val="50"/>
        <cfvo type="percent" val="75"/>
      </iconSet>
    </cfRule>
  </conditionalFormatting>
  <conditionalFormatting sqref="F1:F501">
    <cfRule type="iconSet" priority="15">
      <iconSet iconSet="3Flags">
        <cfvo type="percent" val="0"/>
        <cfvo type="percent" val="33"/>
        <cfvo type="percent" val="67"/>
      </iconSet>
    </cfRule>
  </conditionalFormatting>
  <conditionalFormatting sqref="F2:F501">
    <cfRule type="dataBar" priority="14">
      <dataBar>
        <cfvo type="min"/>
        <cfvo type="max"/>
        <color rgb="FF63C384"/>
      </dataBar>
      <extLst>
        <ext xmlns:x14="http://schemas.microsoft.com/office/spreadsheetml/2009/9/main" uri="{B025F937-C7B1-47D3-B67F-A62EFF666E3E}">
          <x14:id>{A94EDC6A-0536-47C2-B823-2CF7C790A112}</x14:id>
        </ext>
      </extLst>
    </cfRule>
  </conditionalFormatting>
  <conditionalFormatting sqref="G1:G501">
    <cfRule type="colorScale" priority="13">
      <colorScale>
        <cfvo type="min"/>
        <cfvo type="percentile" val="50"/>
        <cfvo type="max"/>
        <color rgb="FF63BE7B"/>
        <color rgb="FFFFEB84"/>
        <color rgb="FFF8696B"/>
      </colorScale>
    </cfRule>
    <cfRule type="iconSet" priority="17">
      <iconSet iconSet="4Arrows">
        <cfvo type="percent" val="0"/>
        <cfvo type="percent" val="25"/>
        <cfvo type="percent" val="50"/>
        <cfvo type="percent" val="75"/>
      </iconSet>
    </cfRule>
  </conditionalFormatting>
  <conditionalFormatting sqref="I1:I501">
    <cfRule type="containsText" dxfId="2" priority="1" operator="containsText" text="net banking">
      <formula>NOT(ISERROR(SEARCH("net banking",I1)))</formula>
    </cfRule>
    <cfRule type="containsText" dxfId="1" priority="2" operator="containsText" text="cash on delivery">
      <formula>NOT(ISERROR(SEARCH("cash on delivery",I1)))</formula>
    </cfRule>
    <cfRule type="containsText" dxfId="0" priority="3" operator="containsText" text="debit card">
      <formula>NOT(ISERROR(SEARCH("debit card",I1)))</formula>
    </cfRule>
  </conditionalFormatting>
  <conditionalFormatting sqref="J1:J501">
    <cfRule type="dataBar" priority="4">
      <dataBar>
        <cfvo type="min"/>
        <cfvo type="max"/>
        <color rgb="FFFF555A"/>
      </dataBar>
      <extLst>
        <ext xmlns:x14="http://schemas.microsoft.com/office/spreadsheetml/2009/9/main" uri="{B025F937-C7B1-47D3-B67F-A62EFF666E3E}">
          <x14:id>{4B68A616-0FE1-417E-AB97-EE80676EF631}</x14:id>
        </ext>
      </extLst>
    </cfRule>
  </conditionalFormatting>
  <conditionalFormatting sqref="J2:J501">
    <cfRule type="colorScale" priority="5">
      <colorScale>
        <cfvo type="min"/>
        <cfvo type="percentile" val="50"/>
        <cfvo type="max"/>
        <color rgb="FFF8696B"/>
        <color rgb="FFFFEB84"/>
        <color rgb="FF63BE7B"/>
      </colorScale>
    </cfRule>
    <cfRule type="dataBar" priority="6">
      <dataBar>
        <cfvo type="min"/>
        <cfvo type="max"/>
        <color rgb="FF008AEF"/>
      </dataBar>
      <extLst>
        <ext xmlns:x14="http://schemas.microsoft.com/office/spreadsheetml/2009/9/main" uri="{B025F937-C7B1-47D3-B67F-A62EFF666E3E}">
          <x14:id>{6BE152DB-F27B-4371-9E48-44C9050F7052}</x14:id>
        </ext>
      </extLst>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A94EDC6A-0536-47C2-B823-2CF7C790A112}">
            <x14:dataBar minLength="0" maxLength="100" border="1" negativeBarBorderColorSameAsPositive="0">
              <x14:cfvo type="autoMin"/>
              <x14:cfvo type="autoMax"/>
              <x14:borderColor rgb="FF63C384"/>
              <x14:negativeFillColor rgb="FFFF0000"/>
              <x14:negativeBorderColor rgb="FFFF0000"/>
              <x14:axisColor rgb="FF000000"/>
            </x14:dataBar>
          </x14:cfRule>
          <xm:sqref>F2:F501</xm:sqref>
        </x14:conditionalFormatting>
        <x14:conditionalFormatting xmlns:xm="http://schemas.microsoft.com/office/excel/2006/main">
          <x14:cfRule type="dataBar" id="{4B68A616-0FE1-417E-AB97-EE80676EF631}">
            <x14:dataBar minLength="0" maxLength="100" border="1" negativeBarBorderColorSameAsPositive="0">
              <x14:cfvo type="autoMin"/>
              <x14:cfvo type="autoMax"/>
              <x14:borderColor rgb="FFFF555A"/>
              <x14:negativeFillColor rgb="FFFF0000"/>
              <x14:negativeBorderColor rgb="FFFF0000"/>
              <x14:axisColor rgb="FF000000"/>
            </x14:dataBar>
          </x14:cfRule>
          <xm:sqref>J1:J501</xm:sqref>
        </x14:conditionalFormatting>
        <x14:conditionalFormatting xmlns:xm="http://schemas.microsoft.com/office/excel/2006/main">
          <x14:cfRule type="dataBar" id="{6BE152DB-F27B-4371-9E48-44C9050F7052}">
            <x14:dataBar minLength="0" maxLength="100" border="1" negativeBarBorderColorSameAsPositive="0">
              <x14:cfvo type="autoMin"/>
              <x14:cfvo type="autoMax"/>
              <x14:borderColor rgb="FF008AEF"/>
              <x14:negativeFillColor rgb="FFFF0000"/>
              <x14:negativeBorderColor rgb="FFFF0000"/>
              <x14:axisColor rgb="FF000000"/>
            </x14:dataBar>
          </x14:cfRule>
          <x14:cfRule type="iconSet" priority="16" id="{F2014427-9E13-4661-B494-A5571B256210}">
            <x14:iconSet iconSet="3Stars">
              <x14:cfvo type="percent">
                <xm:f>0</xm:f>
              </x14:cfvo>
              <x14:cfvo type="percent">
                <xm:f>33</xm:f>
              </x14:cfvo>
              <x14:cfvo type="percent">
                <xm:f>67</xm:f>
              </x14:cfvo>
            </x14:iconSet>
          </x14:cfRule>
          <xm:sqref>J2:J501</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54"/>
  <sheetViews>
    <sheetView tabSelected="1" workbookViewId="0">
      <selection activeCell="K1" sqref="K1"/>
    </sheetView>
  </sheetViews>
  <sheetFormatPr defaultRowHeight="15"/>
  <cols>
    <col min="1" max="1" width="18.42578125" bestFit="1" customWidth="1"/>
    <col min="2" max="2" width="16.7109375" bestFit="1" customWidth="1"/>
    <col min="3" max="3" width="15.140625" bestFit="1" customWidth="1"/>
    <col min="4" max="4" width="10.5703125" bestFit="1" customWidth="1"/>
    <col min="5" max="5" width="10.42578125" bestFit="1" customWidth="1"/>
    <col min="7" max="7" width="14.5703125" bestFit="1" customWidth="1"/>
    <col min="8" max="8" width="12.42578125" bestFit="1" customWidth="1"/>
    <col min="9" max="9" width="10" bestFit="1" customWidth="1"/>
    <col min="10" max="10" width="14.7109375" bestFit="1" customWidth="1"/>
    <col min="11" max="11" width="14.28515625" bestFit="1" customWidth="1"/>
  </cols>
  <sheetData>
    <row r="1" spans="1:11">
      <c r="A1" s="14" t="s">
        <v>22</v>
      </c>
      <c r="B1" s="14" t="s">
        <v>23</v>
      </c>
      <c r="C1" s="14" t="s">
        <v>0</v>
      </c>
      <c r="D1" s="14" t="s">
        <v>1</v>
      </c>
      <c r="E1" s="14" t="s">
        <v>2</v>
      </c>
      <c r="F1" s="27" t="s">
        <v>3</v>
      </c>
      <c r="G1" s="14" t="s">
        <v>644</v>
      </c>
      <c r="H1" s="14" t="s">
        <v>643</v>
      </c>
      <c r="I1" s="14" t="s">
        <v>4</v>
      </c>
      <c r="J1" s="14" t="s">
        <v>642</v>
      </c>
      <c r="K1" s="14" t="s">
        <v>5</v>
      </c>
    </row>
    <row r="2" spans="1:11">
      <c r="A2" s="12" t="s">
        <v>24</v>
      </c>
      <c r="B2" s="12" t="s">
        <v>25</v>
      </c>
      <c r="C2" s="12" t="s">
        <v>26</v>
      </c>
      <c r="D2" s="12" t="s">
        <v>7</v>
      </c>
      <c r="E2" s="12">
        <v>1</v>
      </c>
      <c r="F2" s="12">
        <v>37967</v>
      </c>
      <c r="G2" s="12">
        <f>SUM(F2*E2)</f>
        <v>37967</v>
      </c>
      <c r="H2" s="13">
        <v>46024</v>
      </c>
      <c r="I2" s="12" t="s">
        <v>27</v>
      </c>
      <c r="J2" s="12" t="s">
        <v>8</v>
      </c>
      <c r="K2" s="12">
        <v>4.0999999999999996</v>
      </c>
    </row>
    <row r="3" spans="1:11">
      <c r="A3" s="12" t="s">
        <v>28</v>
      </c>
      <c r="B3" s="12" t="s">
        <v>29</v>
      </c>
      <c r="C3" s="12" t="s">
        <v>26</v>
      </c>
      <c r="D3" s="12" t="s">
        <v>7</v>
      </c>
      <c r="E3" s="12">
        <v>5</v>
      </c>
      <c r="F3" s="12">
        <v>11247</v>
      </c>
      <c r="G3" s="12">
        <f t="shared" ref="G3:G66" si="0">SUM(F3*E3)</f>
        <v>56235</v>
      </c>
      <c r="H3" s="13">
        <v>46143</v>
      </c>
      <c r="I3" s="12" t="s">
        <v>27</v>
      </c>
      <c r="J3" s="12" t="s">
        <v>30</v>
      </c>
      <c r="K3" s="12">
        <v>3.2</v>
      </c>
    </row>
    <row r="4" spans="1:11">
      <c r="A4" s="12" t="s">
        <v>31</v>
      </c>
      <c r="B4" s="12" t="s">
        <v>32</v>
      </c>
      <c r="C4" s="12" t="s">
        <v>16</v>
      </c>
      <c r="D4" s="12" t="s">
        <v>14</v>
      </c>
      <c r="E4" s="12">
        <v>5</v>
      </c>
      <c r="F4" s="12">
        <v>16393</v>
      </c>
      <c r="G4" s="12">
        <f t="shared" si="0"/>
        <v>81965</v>
      </c>
      <c r="H4" s="13">
        <v>46039</v>
      </c>
      <c r="I4" s="12" t="s">
        <v>27</v>
      </c>
      <c r="J4" s="12" t="s">
        <v>30</v>
      </c>
      <c r="K4" s="12">
        <v>4.2</v>
      </c>
    </row>
    <row r="5" spans="1:11">
      <c r="A5" s="12" t="s">
        <v>33</v>
      </c>
      <c r="B5" s="12" t="s">
        <v>34</v>
      </c>
      <c r="C5" s="12" t="s">
        <v>10</v>
      </c>
      <c r="D5" s="12" t="s">
        <v>11</v>
      </c>
      <c r="E5" s="12">
        <v>3</v>
      </c>
      <c r="F5" s="12">
        <v>45821</v>
      </c>
      <c r="G5" s="12">
        <f t="shared" si="0"/>
        <v>137463</v>
      </c>
      <c r="H5" s="13">
        <v>46047</v>
      </c>
      <c r="I5" s="12" t="s">
        <v>35</v>
      </c>
      <c r="J5" s="12" t="s">
        <v>30</v>
      </c>
      <c r="K5" s="12">
        <v>3.2</v>
      </c>
    </row>
    <row r="6" spans="1:11">
      <c r="A6" s="12" t="s">
        <v>36</v>
      </c>
      <c r="B6" s="12" t="s">
        <v>37</v>
      </c>
      <c r="C6" s="12" t="s">
        <v>12</v>
      </c>
      <c r="D6" s="12" t="s">
        <v>7</v>
      </c>
      <c r="E6" s="12">
        <v>4</v>
      </c>
      <c r="F6" s="12">
        <v>22075</v>
      </c>
      <c r="G6" s="12">
        <f t="shared" si="0"/>
        <v>88300</v>
      </c>
      <c r="H6" s="13">
        <v>46148</v>
      </c>
      <c r="I6" s="12" t="s">
        <v>27</v>
      </c>
      <c r="J6" s="12" t="s">
        <v>30</v>
      </c>
      <c r="K6" s="12">
        <v>4.5</v>
      </c>
    </row>
    <row r="7" spans="1:11">
      <c r="A7" s="12" t="s">
        <v>38</v>
      </c>
      <c r="B7" s="12" t="s">
        <v>39</v>
      </c>
      <c r="C7" s="12" t="s">
        <v>12</v>
      </c>
      <c r="D7" s="12" t="s">
        <v>7</v>
      </c>
      <c r="E7" s="12">
        <v>5</v>
      </c>
      <c r="F7" s="12">
        <v>42377</v>
      </c>
      <c r="G7" s="12">
        <f t="shared" si="0"/>
        <v>211885</v>
      </c>
      <c r="H7" s="13">
        <v>46035</v>
      </c>
      <c r="I7" s="12" t="s">
        <v>9</v>
      </c>
      <c r="J7" s="12" t="s">
        <v>40</v>
      </c>
      <c r="K7" s="12">
        <v>3</v>
      </c>
    </row>
    <row r="8" spans="1:11">
      <c r="A8" s="12" t="s">
        <v>41</v>
      </c>
      <c r="B8" s="12" t="s">
        <v>42</v>
      </c>
      <c r="C8" s="12" t="s">
        <v>13</v>
      </c>
      <c r="D8" s="12" t="s">
        <v>14</v>
      </c>
      <c r="E8" s="12">
        <v>1</v>
      </c>
      <c r="F8" s="12">
        <v>21701</v>
      </c>
      <c r="G8" s="12">
        <f t="shared" si="0"/>
        <v>21701</v>
      </c>
      <c r="H8" s="13">
        <v>46040</v>
      </c>
      <c r="I8" s="12" t="s">
        <v>35</v>
      </c>
      <c r="J8" s="12" t="s">
        <v>43</v>
      </c>
      <c r="K8" s="12">
        <v>4.5999999999999996</v>
      </c>
    </row>
    <row r="9" spans="1:11">
      <c r="A9" s="12" t="s">
        <v>44</v>
      </c>
      <c r="B9" s="12" t="s">
        <v>45</v>
      </c>
      <c r="C9" s="12" t="s">
        <v>15</v>
      </c>
      <c r="D9" s="12" t="s">
        <v>7</v>
      </c>
      <c r="E9" s="12">
        <v>2</v>
      </c>
      <c r="F9" s="12">
        <v>46987</v>
      </c>
      <c r="G9" s="12">
        <f t="shared" si="0"/>
        <v>93974</v>
      </c>
      <c r="H9" s="13">
        <v>46110</v>
      </c>
      <c r="I9" s="12" t="s">
        <v>46</v>
      </c>
      <c r="J9" s="12" t="s">
        <v>8</v>
      </c>
      <c r="K9" s="12">
        <v>4.3</v>
      </c>
    </row>
    <row r="10" spans="1:11">
      <c r="A10" s="12" t="s">
        <v>47</v>
      </c>
      <c r="B10" s="12" t="s">
        <v>48</v>
      </c>
      <c r="C10" s="12" t="s">
        <v>26</v>
      </c>
      <c r="D10" s="12" t="s">
        <v>7</v>
      </c>
      <c r="E10" s="12">
        <v>5</v>
      </c>
      <c r="F10" s="12">
        <v>30497</v>
      </c>
      <c r="G10" s="12">
        <f t="shared" si="0"/>
        <v>152485</v>
      </c>
      <c r="H10" s="13">
        <v>46069</v>
      </c>
      <c r="I10" s="12" t="s">
        <v>49</v>
      </c>
      <c r="J10" s="12" t="s">
        <v>30</v>
      </c>
      <c r="K10" s="12">
        <v>3.1</v>
      </c>
    </row>
    <row r="11" spans="1:11">
      <c r="A11" s="12" t="s">
        <v>50</v>
      </c>
      <c r="B11" s="12" t="s">
        <v>51</v>
      </c>
      <c r="C11" s="12" t="s">
        <v>52</v>
      </c>
      <c r="D11" s="12" t="s">
        <v>11</v>
      </c>
      <c r="E11" s="12">
        <v>1</v>
      </c>
      <c r="F11" s="12">
        <v>47360</v>
      </c>
      <c r="G11" s="12">
        <f t="shared" si="0"/>
        <v>47360</v>
      </c>
      <c r="H11" s="13">
        <v>46121</v>
      </c>
      <c r="I11" s="12" t="s">
        <v>35</v>
      </c>
      <c r="J11" s="12" t="s">
        <v>43</v>
      </c>
      <c r="K11" s="12">
        <v>4.5999999999999996</v>
      </c>
    </row>
    <row r="12" spans="1:11">
      <c r="A12" s="12" t="s">
        <v>53</v>
      </c>
      <c r="B12" s="12" t="s">
        <v>54</v>
      </c>
      <c r="C12" s="12" t="s">
        <v>55</v>
      </c>
      <c r="D12" s="12" t="s">
        <v>56</v>
      </c>
      <c r="E12" s="12">
        <v>4</v>
      </c>
      <c r="F12" s="12">
        <v>44317</v>
      </c>
      <c r="G12" s="12">
        <f t="shared" si="0"/>
        <v>177268</v>
      </c>
      <c r="H12" s="13">
        <v>46166</v>
      </c>
      <c r="I12" s="12" t="s">
        <v>49</v>
      </c>
      <c r="J12" s="12" t="s">
        <v>8</v>
      </c>
      <c r="K12" s="12">
        <v>3.7</v>
      </c>
    </row>
    <row r="13" spans="1:11">
      <c r="A13" s="12" t="s">
        <v>57</v>
      </c>
      <c r="B13" s="12" t="s">
        <v>58</v>
      </c>
      <c r="C13" s="12" t="s">
        <v>59</v>
      </c>
      <c r="D13" s="12" t="s">
        <v>7</v>
      </c>
      <c r="E13" s="12">
        <v>3</v>
      </c>
      <c r="F13" s="12">
        <v>35810</v>
      </c>
      <c r="G13" s="12">
        <f t="shared" si="0"/>
        <v>107430</v>
      </c>
      <c r="H13" s="13">
        <v>46111</v>
      </c>
      <c r="I13" s="12" t="s">
        <v>49</v>
      </c>
      <c r="J13" s="12" t="s">
        <v>43</v>
      </c>
      <c r="K13" s="12">
        <v>3.1</v>
      </c>
    </row>
    <row r="14" spans="1:11">
      <c r="A14" s="12" t="s">
        <v>60</v>
      </c>
      <c r="B14" s="12" t="s">
        <v>61</v>
      </c>
      <c r="C14" s="12" t="s">
        <v>16</v>
      </c>
      <c r="D14" s="12" t="s">
        <v>14</v>
      </c>
      <c r="E14" s="12">
        <v>1</v>
      </c>
      <c r="F14" s="12">
        <v>48794</v>
      </c>
      <c r="G14" s="12">
        <f t="shared" si="0"/>
        <v>48794</v>
      </c>
      <c r="H14" s="13">
        <v>46040</v>
      </c>
      <c r="I14" s="12" t="s">
        <v>27</v>
      </c>
      <c r="J14" s="12" t="s">
        <v>30</v>
      </c>
      <c r="K14" s="12">
        <v>4.8</v>
      </c>
    </row>
    <row r="15" spans="1:11">
      <c r="A15" s="12" t="s">
        <v>62</v>
      </c>
      <c r="B15" s="12" t="s">
        <v>63</v>
      </c>
      <c r="C15" s="12" t="s">
        <v>12</v>
      </c>
      <c r="D15" s="12" t="s">
        <v>7</v>
      </c>
      <c r="E15" s="12">
        <v>4</v>
      </c>
      <c r="F15" s="12">
        <v>30177</v>
      </c>
      <c r="G15" s="12">
        <f t="shared" si="0"/>
        <v>120708</v>
      </c>
      <c r="H15" s="13">
        <v>46102</v>
      </c>
      <c r="I15" s="12" t="s">
        <v>64</v>
      </c>
      <c r="J15" s="12" t="s">
        <v>65</v>
      </c>
      <c r="K15" s="12">
        <v>3.5</v>
      </c>
    </row>
    <row r="16" spans="1:11">
      <c r="A16" s="12" t="s">
        <v>66</v>
      </c>
      <c r="B16" s="12" t="s">
        <v>67</v>
      </c>
      <c r="C16" s="12" t="s">
        <v>12</v>
      </c>
      <c r="D16" s="12" t="s">
        <v>7</v>
      </c>
      <c r="E16" s="12">
        <v>4</v>
      </c>
      <c r="F16" s="12">
        <v>9100</v>
      </c>
      <c r="G16" s="12">
        <f t="shared" si="0"/>
        <v>36400</v>
      </c>
      <c r="H16" s="13">
        <v>46094</v>
      </c>
      <c r="I16" s="12" t="s">
        <v>64</v>
      </c>
      <c r="J16" s="12" t="s">
        <v>43</v>
      </c>
      <c r="K16" s="12">
        <v>4.5</v>
      </c>
    </row>
    <row r="17" spans="1:11">
      <c r="A17" s="12" t="s">
        <v>68</v>
      </c>
      <c r="B17" s="12" t="s">
        <v>69</v>
      </c>
      <c r="C17" s="12" t="s">
        <v>12</v>
      </c>
      <c r="D17" s="12" t="s">
        <v>7</v>
      </c>
      <c r="E17" s="12">
        <v>1</v>
      </c>
      <c r="F17" s="12">
        <v>20457</v>
      </c>
      <c r="G17" s="12">
        <f t="shared" si="0"/>
        <v>20457</v>
      </c>
      <c r="H17" s="13">
        <v>46076</v>
      </c>
      <c r="I17" s="12" t="s">
        <v>46</v>
      </c>
      <c r="J17" s="12" t="s">
        <v>40</v>
      </c>
      <c r="K17" s="12">
        <v>4</v>
      </c>
    </row>
    <row r="18" spans="1:11">
      <c r="A18" s="12" t="s">
        <v>70</v>
      </c>
      <c r="B18" s="12" t="s">
        <v>71</v>
      </c>
      <c r="C18" s="12" t="s">
        <v>26</v>
      </c>
      <c r="D18" s="12" t="s">
        <v>7</v>
      </c>
      <c r="E18" s="12">
        <v>4</v>
      </c>
      <c r="F18" s="12">
        <v>20772</v>
      </c>
      <c r="G18" s="12">
        <f t="shared" si="0"/>
        <v>83088</v>
      </c>
      <c r="H18" s="13">
        <v>46120</v>
      </c>
      <c r="I18" s="12" t="s">
        <v>35</v>
      </c>
      <c r="J18" s="12" t="s">
        <v>30</v>
      </c>
      <c r="K18" s="12">
        <v>4.8</v>
      </c>
    </row>
    <row r="19" spans="1:11">
      <c r="A19" s="12" t="s">
        <v>72</v>
      </c>
      <c r="B19" s="12" t="s">
        <v>73</v>
      </c>
      <c r="C19" s="12" t="s">
        <v>6</v>
      </c>
      <c r="D19" s="12" t="s">
        <v>7</v>
      </c>
      <c r="E19" s="12">
        <v>1</v>
      </c>
      <c r="F19" s="12">
        <v>24756</v>
      </c>
      <c r="G19" s="12">
        <f t="shared" si="0"/>
        <v>24756</v>
      </c>
      <c r="H19" s="13">
        <v>46057</v>
      </c>
      <c r="I19" s="12" t="s">
        <v>74</v>
      </c>
      <c r="J19" s="12" t="s">
        <v>30</v>
      </c>
      <c r="K19" s="12">
        <v>4</v>
      </c>
    </row>
    <row r="20" spans="1:11">
      <c r="A20" s="12" t="s">
        <v>75</v>
      </c>
      <c r="B20" s="12" t="s">
        <v>76</v>
      </c>
      <c r="C20" s="12" t="s">
        <v>52</v>
      </c>
      <c r="D20" s="12" t="s">
        <v>11</v>
      </c>
      <c r="E20" s="12">
        <v>4</v>
      </c>
      <c r="F20" s="12">
        <v>43683</v>
      </c>
      <c r="G20" s="12">
        <f t="shared" si="0"/>
        <v>174732</v>
      </c>
      <c r="H20" s="13">
        <v>46163</v>
      </c>
      <c r="I20" s="12" t="s">
        <v>9</v>
      </c>
      <c r="J20" s="12" t="s">
        <v>43</v>
      </c>
      <c r="K20" s="12">
        <v>4.2</v>
      </c>
    </row>
    <row r="21" spans="1:11">
      <c r="A21" s="12" t="s">
        <v>77</v>
      </c>
      <c r="B21" s="12" t="s">
        <v>78</v>
      </c>
      <c r="C21" s="12" t="s">
        <v>79</v>
      </c>
      <c r="D21" s="12" t="s">
        <v>80</v>
      </c>
      <c r="E21" s="12">
        <v>2</v>
      </c>
      <c r="F21" s="12">
        <v>11207</v>
      </c>
      <c r="G21" s="12">
        <f t="shared" si="0"/>
        <v>22414</v>
      </c>
      <c r="H21" s="13">
        <v>46141</v>
      </c>
      <c r="I21" s="12" t="s">
        <v>27</v>
      </c>
      <c r="J21" s="12" t="s">
        <v>40</v>
      </c>
      <c r="K21" s="12">
        <v>3.4</v>
      </c>
    </row>
    <row r="22" spans="1:11">
      <c r="A22" s="12" t="s">
        <v>81</v>
      </c>
      <c r="B22" s="12" t="s">
        <v>82</v>
      </c>
      <c r="C22" s="12" t="s">
        <v>6</v>
      </c>
      <c r="D22" s="12" t="s">
        <v>7</v>
      </c>
      <c r="E22" s="12">
        <v>5</v>
      </c>
      <c r="F22" s="12">
        <v>8723</v>
      </c>
      <c r="G22" s="12">
        <f t="shared" si="0"/>
        <v>43615</v>
      </c>
      <c r="H22" s="13">
        <v>46120</v>
      </c>
      <c r="I22" s="12" t="s">
        <v>49</v>
      </c>
      <c r="J22" s="12" t="s">
        <v>65</v>
      </c>
      <c r="K22" s="12">
        <v>4</v>
      </c>
    </row>
    <row r="23" spans="1:11">
      <c r="A23" s="12" t="s">
        <v>83</v>
      </c>
      <c r="B23" s="12" t="s">
        <v>84</v>
      </c>
      <c r="C23" s="12" t="s">
        <v>79</v>
      </c>
      <c r="D23" s="12" t="s">
        <v>80</v>
      </c>
      <c r="E23" s="12">
        <v>4</v>
      </c>
      <c r="F23" s="12">
        <v>14367</v>
      </c>
      <c r="G23" s="12">
        <f t="shared" si="0"/>
        <v>57468</v>
      </c>
      <c r="H23" s="13">
        <v>46180</v>
      </c>
      <c r="I23" s="12" t="s">
        <v>49</v>
      </c>
      <c r="J23" s="12" t="s">
        <v>40</v>
      </c>
      <c r="K23" s="12">
        <v>3.5</v>
      </c>
    </row>
    <row r="24" spans="1:11">
      <c r="A24" s="12" t="s">
        <v>85</v>
      </c>
      <c r="B24" s="12" t="s">
        <v>86</v>
      </c>
      <c r="C24" s="12" t="s">
        <v>55</v>
      </c>
      <c r="D24" s="12" t="s">
        <v>56</v>
      </c>
      <c r="E24" s="12">
        <v>1</v>
      </c>
      <c r="F24" s="12">
        <v>35805</v>
      </c>
      <c r="G24" s="12">
        <f t="shared" si="0"/>
        <v>35805</v>
      </c>
      <c r="H24" s="13">
        <v>46037</v>
      </c>
      <c r="I24" s="12" t="s">
        <v>46</v>
      </c>
      <c r="J24" s="12" t="s">
        <v>40</v>
      </c>
      <c r="K24" s="12">
        <v>4.9000000000000004</v>
      </c>
    </row>
    <row r="25" spans="1:11">
      <c r="A25" s="12" t="s">
        <v>87</v>
      </c>
      <c r="B25" s="12" t="s">
        <v>69</v>
      </c>
      <c r="C25" s="12" t="s">
        <v>16</v>
      </c>
      <c r="D25" s="12" t="s">
        <v>14</v>
      </c>
      <c r="E25" s="12">
        <v>1</v>
      </c>
      <c r="F25" s="12">
        <v>39399</v>
      </c>
      <c r="G25" s="12">
        <f t="shared" si="0"/>
        <v>39399</v>
      </c>
      <c r="H25" s="13">
        <v>46116</v>
      </c>
      <c r="I25" s="12" t="s">
        <v>74</v>
      </c>
      <c r="J25" s="12" t="s">
        <v>65</v>
      </c>
      <c r="K25" s="12">
        <v>3.8</v>
      </c>
    </row>
    <row r="26" spans="1:11">
      <c r="A26" s="12" t="s">
        <v>88</v>
      </c>
      <c r="B26" s="12" t="s">
        <v>89</v>
      </c>
      <c r="C26" s="12" t="s">
        <v>10</v>
      </c>
      <c r="D26" s="12" t="s">
        <v>11</v>
      </c>
      <c r="E26" s="12">
        <v>3</v>
      </c>
      <c r="F26" s="12">
        <v>14586</v>
      </c>
      <c r="G26" s="12">
        <f t="shared" si="0"/>
        <v>43758</v>
      </c>
      <c r="H26" s="13">
        <v>46117</v>
      </c>
      <c r="I26" s="12" t="s">
        <v>35</v>
      </c>
      <c r="J26" s="12" t="s">
        <v>8</v>
      </c>
      <c r="K26" s="12">
        <v>3.2</v>
      </c>
    </row>
    <row r="27" spans="1:11">
      <c r="A27" s="12" t="s">
        <v>90</v>
      </c>
      <c r="B27" s="12" t="s">
        <v>91</v>
      </c>
      <c r="C27" s="12" t="s">
        <v>79</v>
      </c>
      <c r="D27" s="12" t="s">
        <v>80</v>
      </c>
      <c r="E27" s="12">
        <v>4</v>
      </c>
      <c r="F27" s="12">
        <v>6968</v>
      </c>
      <c r="G27" s="12">
        <f t="shared" si="0"/>
        <v>27872</v>
      </c>
      <c r="H27" s="13">
        <v>46031</v>
      </c>
      <c r="I27" s="12" t="s">
        <v>46</v>
      </c>
      <c r="J27" s="12" t="s">
        <v>65</v>
      </c>
      <c r="K27" s="12">
        <v>4.9000000000000004</v>
      </c>
    </row>
    <row r="28" spans="1:11">
      <c r="A28" s="12" t="s">
        <v>92</v>
      </c>
      <c r="B28" s="12" t="s">
        <v>93</v>
      </c>
      <c r="C28" s="12" t="s">
        <v>12</v>
      </c>
      <c r="D28" s="12" t="s">
        <v>7</v>
      </c>
      <c r="E28" s="12">
        <v>4</v>
      </c>
      <c r="F28" s="12">
        <v>46523</v>
      </c>
      <c r="G28" s="12">
        <f t="shared" si="0"/>
        <v>186092</v>
      </c>
      <c r="H28" s="13">
        <v>46161</v>
      </c>
      <c r="I28" s="12" t="s">
        <v>49</v>
      </c>
      <c r="J28" s="12" t="s">
        <v>8</v>
      </c>
      <c r="K28" s="12">
        <v>4.9000000000000004</v>
      </c>
    </row>
    <row r="29" spans="1:11">
      <c r="A29" s="12" t="s">
        <v>94</v>
      </c>
      <c r="B29" s="12" t="s">
        <v>95</v>
      </c>
      <c r="C29" s="12" t="s">
        <v>12</v>
      </c>
      <c r="D29" s="12" t="s">
        <v>7</v>
      </c>
      <c r="E29" s="12">
        <v>4</v>
      </c>
      <c r="F29" s="12">
        <v>46272</v>
      </c>
      <c r="G29" s="12">
        <f t="shared" si="0"/>
        <v>185088</v>
      </c>
      <c r="H29" s="13">
        <v>46191</v>
      </c>
      <c r="I29" s="12" t="s">
        <v>27</v>
      </c>
      <c r="J29" s="12" t="s">
        <v>65</v>
      </c>
      <c r="K29" s="12">
        <v>3.7</v>
      </c>
    </row>
    <row r="30" spans="1:11">
      <c r="A30" s="12" t="s">
        <v>96</v>
      </c>
      <c r="B30" s="12" t="s">
        <v>45</v>
      </c>
      <c r="C30" s="12" t="s">
        <v>26</v>
      </c>
      <c r="D30" s="12" t="s">
        <v>7</v>
      </c>
      <c r="E30" s="12">
        <v>1</v>
      </c>
      <c r="F30" s="12">
        <v>25538</v>
      </c>
      <c r="G30" s="12">
        <f t="shared" si="0"/>
        <v>25538</v>
      </c>
      <c r="H30" s="13">
        <v>46046</v>
      </c>
      <c r="I30" s="12" t="s">
        <v>46</v>
      </c>
      <c r="J30" s="12" t="s">
        <v>8</v>
      </c>
      <c r="K30" s="12">
        <v>4</v>
      </c>
    </row>
    <row r="31" spans="1:11">
      <c r="A31" s="12" t="s">
        <v>97</v>
      </c>
      <c r="B31" s="12" t="s">
        <v>98</v>
      </c>
      <c r="C31" s="12" t="s">
        <v>15</v>
      </c>
      <c r="D31" s="12" t="s">
        <v>7</v>
      </c>
      <c r="E31" s="12">
        <v>5</v>
      </c>
      <c r="F31" s="12">
        <v>13923</v>
      </c>
      <c r="G31" s="12">
        <f t="shared" si="0"/>
        <v>69615</v>
      </c>
      <c r="H31" s="13">
        <v>46117</v>
      </c>
      <c r="I31" s="12" t="s">
        <v>74</v>
      </c>
      <c r="J31" s="12" t="s">
        <v>8</v>
      </c>
      <c r="K31" s="12">
        <v>3.9</v>
      </c>
    </row>
    <row r="32" spans="1:11">
      <c r="A32" s="12" t="s">
        <v>99</v>
      </c>
      <c r="B32" s="12" t="s">
        <v>100</v>
      </c>
      <c r="C32" s="12" t="s">
        <v>26</v>
      </c>
      <c r="D32" s="12" t="s">
        <v>7</v>
      </c>
      <c r="E32" s="12">
        <v>4</v>
      </c>
      <c r="F32" s="12">
        <v>45484</v>
      </c>
      <c r="G32" s="12">
        <f t="shared" si="0"/>
        <v>181936</v>
      </c>
      <c r="H32" s="13">
        <v>46148</v>
      </c>
      <c r="I32" s="12" t="s">
        <v>35</v>
      </c>
      <c r="J32" s="12" t="s">
        <v>30</v>
      </c>
      <c r="K32" s="12">
        <v>3.3</v>
      </c>
    </row>
    <row r="33" spans="1:11">
      <c r="A33" s="12" t="s">
        <v>101</v>
      </c>
      <c r="B33" s="12" t="s">
        <v>102</v>
      </c>
      <c r="C33" s="12" t="s">
        <v>6</v>
      </c>
      <c r="D33" s="12" t="s">
        <v>7</v>
      </c>
      <c r="E33" s="12">
        <v>3</v>
      </c>
      <c r="F33" s="12">
        <v>37574</v>
      </c>
      <c r="G33" s="12">
        <f t="shared" si="0"/>
        <v>112722</v>
      </c>
      <c r="H33" s="13">
        <v>46094</v>
      </c>
      <c r="I33" s="12" t="s">
        <v>64</v>
      </c>
      <c r="J33" s="12" t="s">
        <v>65</v>
      </c>
      <c r="K33" s="12">
        <v>4.9000000000000004</v>
      </c>
    </row>
    <row r="34" spans="1:11">
      <c r="A34" s="12" t="s">
        <v>103</v>
      </c>
      <c r="B34" s="12" t="s">
        <v>104</v>
      </c>
      <c r="C34" s="12" t="s">
        <v>105</v>
      </c>
      <c r="D34" s="12" t="s">
        <v>106</v>
      </c>
      <c r="E34" s="12">
        <v>2</v>
      </c>
      <c r="F34" s="12">
        <v>10351</v>
      </c>
      <c r="G34" s="12">
        <f t="shared" si="0"/>
        <v>20702</v>
      </c>
      <c r="H34" s="13">
        <v>46079</v>
      </c>
      <c r="I34" s="12" t="s">
        <v>27</v>
      </c>
      <c r="J34" s="12" t="s">
        <v>65</v>
      </c>
      <c r="K34" s="12">
        <v>4.5</v>
      </c>
    </row>
    <row r="35" spans="1:11">
      <c r="A35" s="12" t="s">
        <v>107</v>
      </c>
      <c r="B35" s="12" t="s">
        <v>108</v>
      </c>
      <c r="C35" s="12" t="s">
        <v>12</v>
      </c>
      <c r="D35" s="12" t="s">
        <v>7</v>
      </c>
      <c r="E35" s="12">
        <v>5</v>
      </c>
      <c r="F35" s="12">
        <v>555</v>
      </c>
      <c r="G35" s="12">
        <f t="shared" si="0"/>
        <v>2775</v>
      </c>
      <c r="H35" s="13">
        <v>46100</v>
      </c>
      <c r="I35" s="12" t="s">
        <v>27</v>
      </c>
      <c r="J35" s="12" t="s">
        <v>65</v>
      </c>
      <c r="K35" s="12">
        <v>4.5999999999999996</v>
      </c>
    </row>
    <row r="36" spans="1:11">
      <c r="A36" s="12" t="s">
        <v>109</v>
      </c>
      <c r="B36" s="12" t="s">
        <v>110</v>
      </c>
      <c r="C36" s="12" t="s">
        <v>79</v>
      </c>
      <c r="D36" s="12" t="s">
        <v>80</v>
      </c>
      <c r="E36" s="12">
        <v>4</v>
      </c>
      <c r="F36" s="12">
        <v>37257</v>
      </c>
      <c r="G36" s="12">
        <f t="shared" si="0"/>
        <v>149028</v>
      </c>
      <c r="H36" s="13">
        <v>46038</v>
      </c>
      <c r="I36" s="12" t="s">
        <v>74</v>
      </c>
      <c r="J36" s="12" t="s">
        <v>40</v>
      </c>
      <c r="K36" s="12">
        <v>4.0999999999999996</v>
      </c>
    </row>
    <row r="37" spans="1:11">
      <c r="A37" s="12" t="s">
        <v>111</v>
      </c>
      <c r="B37" s="12" t="s">
        <v>112</v>
      </c>
      <c r="C37" s="12" t="s">
        <v>16</v>
      </c>
      <c r="D37" s="12" t="s">
        <v>14</v>
      </c>
      <c r="E37" s="12">
        <v>1</v>
      </c>
      <c r="F37" s="12">
        <v>17907</v>
      </c>
      <c r="G37" s="12">
        <f t="shared" si="0"/>
        <v>17907</v>
      </c>
      <c r="H37" s="13">
        <v>46087</v>
      </c>
      <c r="I37" s="12" t="s">
        <v>74</v>
      </c>
      <c r="J37" s="12" t="s">
        <v>43</v>
      </c>
      <c r="K37" s="12">
        <v>3.3</v>
      </c>
    </row>
    <row r="38" spans="1:11">
      <c r="A38" s="12" t="s">
        <v>113</v>
      </c>
      <c r="B38" s="12" t="s">
        <v>114</v>
      </c>
      <c r="C38" s="12" t="s">
        <v>26</v>
      </c>
      <c r="D38" s="12" t="s">
        <v>7</v>
      </c>
      <c r="E38" s="12">
        <v>2</v>
      </c>
      <c r="F38" s="12">
        <v>10369</v>
      </c>
      <c r="G38" s="12">
        <f t="shared" si="0"/>
        <v>20738</v>
      </c>
      <c r="H38" s="13">
        <v>46166</v>
      </c>
      <c r="I38" s="12" t="s">
        <v>74</v>
      </c>
      <c r="J38" s="12" t="s">
        <v>43</v>
      </c>
      <c r="K38" s="12">
        <v>3.1</v>
      </c>
    </row>
    <row r="39" spans="1:11">
      <c r="A39" s="12" t="s">
        <v>115</v>
      </c>
      <c r="B39" s="12" t="s">
        <v>58</v>
      </c>
      <c r="C39" s="12" t="s">
        <v>6</v>
      </c>
      <c r="D39" s="12" t="s">
        <v>7</v>
      </c>
      <c r="E39" s="12">
        <v>5</v>
      </c>
      <c r="F39" s="12">
        <v>309</v>
      </c>
      <c r="G39" s="12">
        <f t="shared" si="0"/>
        <v>1545</v>
      </c>
      <c r="H39" s="13">
        <v>46099</v>
      </c>
      <c r="I39" s="12" t="s">
        <v>27</v>
      </c>
      <c r="J39" s="12" t="s">
        <v>43</v>
      </c>
      <c r="K39" s="12">
        <v>3.8</v>
      </c>
    </row>
    <row r="40" spans="1:11">
      <c r="A40" s="12" t="s">
        <v>116</v>
      </c>
      <c r="B40" s="12" t="s">
        <v>108</v>
      </c>
      <c r="C40" s="12" t="s">
        <v>26</v>
      </c>
      <c r="D40" s="12" t="s">
        <v>7</v>
      </c>
      <c r="E40" s="12">
        <v>1</v>
      </c>
      <c r="F40" s="12">
        <v>6167</v>
      </c>
      <c r="G40" s="12">
        <f t="shared" si="0"/>
        <v>6167</v>
      </c>
      <c r="H40" s="13">
        <v>46026</v>
      </c>
      <c r="I40" s="12" t="s">
        <v>46</v>
      </c>
      <c r="J40" s="12" t="s">
        <v>65</v>
      </c>
      <c r="K40" s="12">
        <v>4.9000000000000004</v>
      </c>
    </row>
    <row r="41" spans="1:11">
      <c r="A41" s="12" t="s">
        <v>117</v>
      </c>
      <c r="B41" s="12" t="s">
        <v>69</v>
      </c>
      <c r="C41" s="12" t="s">
        <v>105</v>
      </c>
      <c r="D41" s="12" t="s">
        <v>106</v>
      </c>
      <c r="E41" s="12">
        <v>1</v>
      </c>
      <c r="F41" s="12">
        <v>8344</v>
      </c>
      <c r="G41" s="12">
        <f t="shared" si="0"/>
        <v>8344</v>
      </c>
      <c r="H41" s="13">
        <v>46188</v>
      </c>
      <c r="I41" s="12" t="s">
        <v>74</v>
      </c>
      <c r="J41" s="12" t="s">
        <v>65</v>
      </c>
      <c r="K41" s="12">
        <v>3.6</v>
      </c>
    </row>
    <row r="42" spans="1:11">
      <c r="A42" s="12" t="s">
        <v>118</v>
      </c>
      <c r="B42" s="12" t="s">
        <v>119</v>
      </c>
      <c r="C42" s="12" t="s">
        <v>105</v>
      </c>
      <c r="D42" s="12" t="s">
        <v>106</v>
      </c>
      <c r="E42" s="12">
        <v>2</v>
      </c>
      <c r="F42" s="12">
        <v>19996</v>
      </c>
      <c r="G42" s="12">
        <f t="shared" si="0"/>
        <v>39992</v>
      </c>
      <c r="H42" s="13">
        <v>46030</v>
      </c>
      <c r="I42" s="12" t="s">
        <v>46</v>
      </c>
      <c r="J42" s="12" t="s">
        <v>43</v>
      </c>
      <c r="K42" s="12">
        <v>4</v>
      </c>
    </row>
    <row r="43" spans="1:11">
      <c r="A43" s="12" t="s">
        <v>120</v>
      </c>
      <c r="B43" s="12" t="s">
        <v>84</v>
      </c>
      <c r="C43" s="12" t="s">
        <v>10</v>
      </c>
      <c r="D43" s="12" t="s">
        <v>11</v>
      </c>
      <c r="E43" s="12">
        <v>2</v>
      </c>
      <c r="F43" s="12">
        <v>4486</v>
      </c>
      <c r="G43" s="12">
        <f t="shared" si="0"/>
        <v>8972</v>
      </c>
      <c r="H43" s="13">
        <v>46055</v>
      </c>
      <c r="I43" s="12" t="s">
        <v>74</v>
      </c>
      <c r="J43" s="12" t="s">
        <v>65</v>
      </c>
      <c r="K43" s="12">
        <v>4.3</v>
      </c>
    </row>
    <row r="44" spans="1:11">
      <c r="A44" s="12" t="s">
        <v>121</v>
      </c>
      <c r="B44" s="12" t="s">
        <v>122</v>
      </c>
      <c r="C44" s="12" t="s">
        <v>15</v>
      </c>
      <c r="D44" s="12" t="s">
        <v>7</v>
      </c>
      <c r="E44" s="12">
        <v>4</v>
      </c>
      <c r="F44" s="12">
        <v>19193</v>
      </c>
      <c r="G44" s="12">
        <f t="shared" si="0"/>
        <v>76772</v>
      </c>
      <c r="H44" s="13">
        <v>46120</v>
      </c>
      <c r="I44" s="12" t="s">
        <v>9</v>
      </c>
      <c r="J44" s="12" t="s">
        <v>40</v>
      </c>
      <c r="K44" s="12">
        <v>4</v>
      </c>
    </row>
    <row r="45" spans="1:11">
      <c r="A45" s="12" t="s">
        <v>123</v>
      </c>
      <c r="B45" s="12" t="s">
        <v>124</v>
      </c>
      <c r="C45" s="12" t="s">
        <v>26</v>
      </c>
      <c r="D45" s="12" t="s">
        <v>7</v>
      </c>
      <c r="E45" s="12">
        <v>1</v>
      </c>
      <c r="F45" s="12">
        <v>33480</v>
      </c>
      <c r="G45" s="12">
        <f t="shared" si="0"/>
        <v>33480</v>
      </c>
      <c r="H45" s="13">
        <v>46050</v>
      </c>
      <c r="I45" s="12" t="s">
        <v>49</v>
      </c>
      <c r="J45" s="12" t="s">
        <v>43</v>
      </c>
      <c r="K45" s="12">
        <v>3.5</v>
      </c>
    </row>
    <row r="46" spans="1:11">
      <c r="A46" s="12" t="s">
        <v>125</v>
      </c>
      <c r="B46" s="12" t="s">
        <v>126</v>
      </c>
      <c r="C46" s="12" t="s">
        <v>26</v>
      </c>
      <c r="D46" s="12" t="s">
        <v>7</v>
      </c>
      <c r="E46" s="12">
        <v>1</v>
      </c>
      <c r="F46" s="12">
        <v>19700</v>
      </c>
      <c r="G46" s="12">
        <f t="shared" si="0"/>
        <v>19700</v>
      </c>
      <c r="H46" s="13">
        <v>46149</v>
      </c>
      <c r="I46" s="12" t="s">
        <v>35</v>
      </c>
      <c r="J46" s="12" t="s">
        <v>8</v>
      </c>
      <c r="K46" s="12">
        <v>3.2</v>
      </c>
    </row>
    <row r="47" spans="1:11">
      <c r="A47" s="12" t="s">
        <v>127</v>
      </c>
      <c r="B47" s="12" t="s">
        <v>128</v>
      </c>
      <c r="C47" s="12" t="s">
        <v>52</v>
      </c>
      <c r="D47" s="12" t="s">
        <v>11</v>
      </c>
      <c r="E47" s="12">
        <v>2</v>
      </c>
      <c r="F47" s="12">
        <v>23862</v>
      </c>
      <c r="G47" s="12">
        <f t="shared" si="0"/>
        <v>47724</v>
      </c>
      <c r="H47" s="13">
        <v>46028</v>
      </c>
      <c r="I47" s="12" t="s">
        <v>64</v>
      </c>
      <c r="J47" s="12" t="s">
        <v>65</v>
      </c>
      <c r="K47" s="12">
        <v>3.7</v>
      </c>
    </row>
    <row r="48" spans="1:11">
      <c r="A48" s="12" t="s">
        <v>129</v>
      </c>
      <c r="B48" s="12" t="s">
        <v>130</v>
      </c>
      <c r="C48" s="12" t="s">
        <v>15</v>
      </c>
      <c r="D48" s="12" t="s">
        <v>7</v>
      </c>
      <c r="E48" s="12">
        <v>4</v>
      </c>
      <c r="F48" s="12">
        <v>15755</v>
      </c>
      <c r="G48" s="12">
        <f t="shared" si="0"/>
        <v>63020</v>
      </c>
      <c r="H48" s="13">
        <v>46128</v>
      </c>
      <c r="I48" s="12" t="s">
        <v>74</v>
      </c>
      <c r="J48" s="12" t="s">
        <v>30</v>
      </c>
      <c r="K48" s="12">
        <v>4.5999999999999996</v>
      </c>
    </row>
    <row r="49" spans="1:11">
      <c r="A49" s="12" t="s">
        <v>131</v>
      </c>
      <c r="B49" s="12" t="s">
        <v>132</v>
      </c>
      <c r="C49" s="12" t="s">
        <v>105</v>
      </c>
      <c r="D49" s="12" t="s">
        <v>106</v>
      </c>
      <c r="E49" s="12">
        <v>2</v>
      </c>
      <c r="F49" s="12">
        <v>11393</v>
      </c>
      <c r="G49" s="12">
        <f t="shared" si="0"/>
        <v>22786</v>
      </c>
      <c r="H49" s="13">
        <v>46166</v>
      </c>
      <c r="I49" s="12" t="s">
        <v>9</v>
      </c>
      <c r="J49" s="12" t="s">
        <v>65</v>
      </c>
      <c r="K49" s="12">
        <v>3.6</v>
      </c>
    </row>
    <row r="50" spans="1:11">
      <c r="A50" s="12" t="s">
        <v>133</v>
      </c>
      <c r="B50" s="12" t="s">
        <v>34</v>
      </c>
      <c r="C50" s="12" t="s">
        <v>52</v>
      </c>
      <c r="D50" s="12" t="s">
        <v>11</v>
      </c>
      <c r="E50" s="12">
        <v>5</v>
      </c>
      <c r="F50" s="12">
        <v>24310</v>
      </c>
      <c r="G50" s="12">
        <f t="shared" si="0"/>
        <v>121550</v>
      </c>
      <c r="H50" s="13">
        <v>46107</v>
      </c>
      <c r="I50" s="12" t="s">
        <v>27</v>
      </c>
      <c r="J50" s="12" t="s">
        <v>43</v>
      </c>
      <c r="K50" s="12">
        <v>4.0999999999999996</v>
      </c>
    </row>
    <row r="51" spans="1:11">
      <c r="A51" s="12" t="s">
        <v>134</v>
      </c>
      <c r="B51" s="12" t="s">
        <v>135</v>
      </c>
      <c r="C51" s="12" t="s">
        <v>13</v>
      </c>
      <c r="D51" s="12" t="s">
        <v>14</v>
      </c>
      <c r="E51" s="12">
        <v>4</v>
      </c>
      <c r="F51" s="12">
        <v>27576</v>
      </c>
      <c r="G51" s="12">
        <f t="shared" si="0"/>
        <v>110304</v>
      </c>
      <c r="H51" s="13">
        <v>46084</v>
      </c>
      <c r="I51" s="12" t="s">
        <v>35</v>
      </c>
      <c r="J51" s="12" t="s">
        <v>30</v>
      </c>
      <c r="K51" s="12">
        <v>4.3</v>
      </c>
    </row>
    <row r="52" spans="1:11">
      <c r="A52" s="12" t="s">
        <v>136</v>
      </c>
      <c r="B52" s="12" t="s">
        <v>137</v>
      </c>
      <c r="C52" s="12" t="s">
        <v>15</v>
      </c>
      <c r="D52" s="12" t="s">
        <v>7</v>
      </c>
      <c r="E52" s="12">
        <v>5</v>
      </c>
      <c r="F52" s="12">
        <v>32482</v>
      </c>
      <c r="G52" s="12">
        <f t="shared" si="0"/>
        <v>162410</v>
      </c>
      <c r="H52" s="13">
        <v>46036</v>
      </c>
      <c r="I52" s="12" t="s">
        <v>46</v>
      </c>
      <c r="J52" s="12" t="s">
        <v>40</v>
      </c>
      <c r="K52" s="12">
        <v>4.8</v>
      </c>
    </row>
    <row r="53" spans="1:11">
      <c r="A53" s="12" t="s">
        <v>138</v>
      </c>
      <c r="B53" s="12" t="s">
        <v>42</v>
      </c>
      <c r="C53" s="12" t="s">
        <v>105</v>
      </c>
      <c r="D53" s="12" t="s">
        <v>106</v>
      </c>
      <c r="E53" s="12">
        <v>2</v>
      </c>
      <c r="F53" s="12">
        <v>29579</v>
      </c>
      <c r="G53" s="12">
        <f t="shared" si="0"/>
        <v>59158</v>
      </c>
      <c r="H53" s="13">
        <v>46142</v>
      </c>
      <c r="I53" s="12" t="s">
        <v>49</v>
      </c>
      <c r="J53" s="12" t="s">
        <v>8</v>
      </c>
      <c r="K53" s="12">
        <v>4.9000000000000004</v>
      </c>
    </row>
    <row r="54" spans="1:11">
      <c r="A54" s="12" t="s">
        <v>139</v>
      </c>
      <c r="B54" s="12" t="s">
        <v>37</v>
      </c>
      <c r="C54" s="12" t="s">
        <v>26</v>
      </c>
      <c r="D54" s="12" t="s">
        <v>7</v>
      </c>
      <c r="E54" s="12">
        <v>4</v>
      </c>
      <c r="F54" s="12">
        <v>14304</v>
      </c>
      <c r="G54" s="12">
        <f t="shared" si="0"/>
        <v>57216</v>
      </c>
      <c r="H54" s="13">
        <v>46161</v>
      </c>
      <c r="I54" s="12" t="s">
        <v>35</v>
      </c>
      <c r="J54" s="12" t="s">
        <v>30</v>
      </c>
      <c r="K54" s="12">
        <v>4.3</v>
      </c>
    </row>
    <row r="55" spans="1:11">
      <c r="A55" s="12" t="s">
        <v>140</v>
      </c>
      <c r="B55" s="12" t="s">
        <v>141</v>
      </c>
      <c r="C55" s="12" t="s">
        <v>59</v>
      </c>
      <c r="D55" s="12" t="s">
        <v>7</v>
      </c>
      <c r="E55" s="12">
        <v>4</v>
      </c>
      <c r="F55" s="12">
        <v>24084</v>
      </c>
      <c r="G55" s="12">
        <f t="shared" si="0"/>
        <v>96336</v>
      </c>
      <c r="H55" s="13">
        <v>46165</v>
      </c>
      <c r="I55" s="12" t="s">
        <v>74</v>
      </c>
      <c r="J55" s="12" t="s">
        <v>30</v>
      </c>
      <c r="K55" s="12">
        <v>4.4000000000000004</v>
      </c>
    </row>
    <row r="56" spans="1:11">
      <c r="A56" s="12" t="s">
        <v>142</v>
      </c>
      <c r="B56" s="12" t="s">
        <v>54</v>
      </c>
      <c r="C56" s="12" t="s">
        <v>79</v>
      </c>
      <c r="D56" s="12" t="s">
        <v>80</v>
      </c>
      <c r="E56" s="12">
        <v>4</v>
      </c>
      <c r="F56" s="12">
        <v>15006</v>
      </c>
      <c r="G56" s="12">
        <f t="shared" si="0"/>
        <v>60024</v>
      </c>
      <c r="H56" s="13">
        <v>46032</v>
      </c>
      <c r="I56" s="12" t="s">
        <v>49</v>
      </c>
      <c r="J56" s="12" t="s">
        <v>30</v>
      </c>
      <c r="K56" s="12">
        <v>4.5999999999999996</v>
      </c>
    </row>
    <row r="57" spans="1:11">
      <c r="A57" s="12" t="s">
        <v>143</v>
      </c>
      <c r="B57" s="12" t="s">
        <v>144</v>
      </c>
      <c r="C57" s="12" t="s">
        <v>52</v>
      </c>
      <c r="D57" s="12" t="s">
        <v>11</v>
      </c>
      <c r="E57" s="12">
        <v>5</v>
      </c>
      <c r="F57" s="12">
        <v>14464</v>
      </c>
      <c r="G57" s="12">
        <f t="shared" si="0"/>
        <v>72320</v>
      </c>
      <c r="H57" s="13">
        <v>46176</v>
      </c>
      <c r="I57" s="12" t="s">
        <v>74</v>
      </c>
      <c r="J57" s="12" t="s">
        <v>43</v>
      </c>
      <c r="K57" s="12">
        <v>3.5</v>
      </c>
    </row>
    <row r="58" spans="1:11">
      <c r="A58" s="12" t="s">
        <v>145</v>
      </c>
      <c r="B58" s="12" t="s">
        <v>54</v>
      </c>
      <c r="C58" s="12" t="s">
        <v>6</v>
      </c>
      <c r="D58" s="12" t="s">
        <v>7</v>
      </c>
      <c r="E58" s="12">
        <v>1</v>
      </c>
      <c r="F58" s="12">
        <v>9542</v>
      </c>
      <c r="G58" s="12">
        <f t="shared" si="0"/>
        <v>9542</v>
      </c>
      <c r="H58" s="13">
        <v>46136</v>
      </c>
      <c r="I58" s="12" t="s">
        <v>74</v>
      </c>
      <c r="J58" s="12" t="s">
        <v>40</v>
      </c>
      <c r="K58" s="12">
        <v>3.7</v>
      </c>
    </row>
    <row r="59" spans="1:11">
      <c r="A59" s="12" t="s">
        <v>146</v>
      </c>
      <c r="B59" s="12" t="s">
        <v>147</v>
      </c>
      <c r="C59" s="12" t="s">
        <v>13</v>
      </c>
      <c r="D59" s="12" t="s">
        <v>14</v>
      </c>
      <c r="E59" s="12">
        <v>4</v>
      </c>
      <c r="F59" s="12">
        <v>31312</v>
      </c>
      <c r="G59" s="12">
        <f t="shared" si="0"/>
        <v>125248</v>
      </c>
      <c r="H59" s="13">
        <v>46139</v>
      </c>
      <c r="I59" s="12" t="s">
        <v>9</v>
      </c>
      <c r="J59" s="12" t="s">
        <v>40</v>
      </c>
      <c r="K59" s="12">
        <v>3.4</v>
      </c>
    </row>
    <row r="60" spans="1:11">
      <c r="A60" s="12" t="s">
        <v>148</v>
      </c>
      <c r="B60" s="12" t="s">
        <v>39</v>
      </c>
      <c r="C60" s="12" t="s">
        <v>52</v>
      </c>
      <c r="D60" s="12" t="s">
        <v>11</v>
      </c>
      <c r="E60" s="12">
        <v>5</v>
      </c>
      <c r="F60" s="12">
        <v>33598</v>
      </c>
      <c r="G60" s="12">
        <f t="shared" si="0"/>
        <v>167990</v>
      </c>
      <c r="H60" s="13">
        <v>46105</v>
      </c>
      <c r="I60" s="12" t="s">
        <v>74</v>
      </c>
      <c r="J60" s="12" t="s">
        <v>8</v>
      </c>
      <c r="K60" s="12">
        <v>4.5</v>
      </c>
    </row>
    <row r="61" spans="1:11">
      <c r="A61" s="12" t="s">
        <v>149</v>
      </c>
      <c r="B61" s="12" t="s">
        <v>150</v>
      </c>
      <c r="C61" s="12" t="s">
        <v>16</v>
      </c>
      <c r="D61" s="12" t="s">
        <v>14</v>
      </c>
      <c r="E61" s="12">
        <v>2</v>
      </c>
      <c r="F61" s="12">
        <v>31551</v>
      </c>
      <c r="G61" s="12">
        <f t="shared" si="0"/>
        <v>63102</v>
      </c>
      <c r="H61" s="13">
        <v>46030</v>
      </c>
      <c r="I61" s="12" t="s">
        <v>27</v>
      </c>
      <c r="J61" s="12" t="s">
        <v>65</v>
      </c>
      <c r="K61" s="12">
        <v>4.7</v>
      </c>
    </row>
    <row r="62" spans="1:11">
      <c r="A62" s="12" t="s">
        <v>151</v>
      </c>
      <c r="B62" s="12" t="s">
        <v>141</v>
      </c>
      <c r="C62" s="12" t="s">
        <v>6</v>
      </c>
      <c r="D62" s="12" t="s">
        <v>7</v>
      </c>
      <c r="E62" s="12">
        <v>1</v>
      </c>
      <c r="F62" s="12">
        <v>18514</v>
      </c>
      <c r="G62" s="12">
        <f t="shared" si="0"/>
        <v>18514</v>
      </c>
      <c r="H62" s="13">
        <v>46122</v>
      </c>
      <c r="I62" s="12" t="s">
        <v>46</v>
      </c>
      <c r="J62" s="12" t="s">
        <v>65</v>
      </c>
      <c r="K62" s="12">
        <v>3.6</v>
      </c>
    </row>
    <row r="63" spans="1:11">
      <c r="A63" s="12" t="s">
        <v>152</v>
      </c>
      <c r="B63" s="12" t="s">
        <v>130</v>
      </c>
      <c r="C63" s="12" t="s">
        <v>6</v>
      </c>
      <c r="D63" s="12" t="s">
        <v>7</v>
      </c>
      <c r="E63" s="12">
        <v>4</v>
      </c>
      <c r="F63" s="12">
        <v>18315</v>
      </c>
      <c r="G63" s="12">
        <f t="shared" si="0"/>
        <v>73260</v>
      </c>
      <c r="H63" s="13">
        <v>46028</v>
      </c>
      <c r="I63" s="12" t="s">
        <v>9</v>
      </c>
      <c r="J63" s="12" t="s">
        <v>43</v>
      </c>
      <c r="K63" s="12">
        <v>4</v>
      </c>
    </row>
    <row r="64" spans="1:11">
      <c r="A64" s="12" t="s">
        <v>153</v>
      </c>
      <c r="B64" s="12" t="s">
        <v>45</v>
      </c>
      <c r="C64" s="12" t="s">
        <v>15</v>
      </c>
      <c r="D64" s="12" t="s">
        <v>7</v>
      </c>
      <c r="E64" s="12">
        <v>4</v>
      </c>
      <c r="F64" s="12">
        <v>16870</v>
      </c>
      <c r="G64" s="12">
        <f t="shared" si="0"/>
        <v>67480</v>
      </c>
      <c r="H64" s="13">
        <v>46146</v>
      </c>
      <c r="I64" s="12" t="s">
        <v>9</v>
      </c>
      <c r="J64" s="12" t="s">
        <v>65</v>
      </c>
      <c r="K64" s="12">
        <v>4.5999999999999996</v>
      </c>
    </row>
    <row r="65" spans="1:11">
      <c r="A65" s="12" t="s">
        <v>154</v>
      </c>
      <c r="B65" s="12" t="s">
        <v>155</v>
      </c>
      <c r="C65" s="12" t="s">
        <v>12</v>
      </c>
      <c r="D65" s="12" t="s">
        <v>7</v>
      </c>
      <c r="E65" s="12">
        <v>4</v>
      </c>
      <c r="F65" s="12">
        <v>32194</v>
      </c>
      <c r="G65" s="12">
        <f t="shared" si="0"/>
        <v>128776</v>
      </c>
      <c r="H65" s="13">
        <v>46151</v>
      </c>
      <c r="I65" s="12" t="s">
        <v>49</v>
      </c>
      <c r="J65" s="12" t="s">
        <v>8</v>
      </c>
      <c r="K65" s="12">
        <v>3.9</v>
      </c>
    </row>
    <row r="66" spans="1:11">
      <c r="A66" s="12" t="s">
        <v>156</v>
      </c>
      <c r="B66" s="12" t="s">
        <v>157</v>
      </c>
      <c r="C66" s="12" t="s">
        <v>26</v>
      </c>
      <c r="D66" s="12" t="s">
        <v>7</v>
      </c>
      <c r="E66" s="12">
        <v>5</v>
      </c>
      <c r="F66" s="12">
        <v>14896</v>
      </c>
      <c r="G66" s="12">
        <f t="shared" si="0"/>
        <v>74480</v>
      </c>
      <c r="H66" s="13">
        <v>46026</v>
      </c>
      <c r="I66" s="12" t="s">
        <v>35</v>
      </c>
      <c r="J66" s="12" t="s">
        <v>65</v>
      </c>
      <c r="K66" s="12">
        <v>3</v>
      </c>
    </row>
    <row r="67" spans="1:11">
      <c r="A67" s="12" t="s">
        <v>158</v>
      </c>
      <c r="B67" s="12" t="s">
        <v>159</v>
      </c>
      <c r="C67" s="12" t="s">
        <v>59</v>
      </c>
      <c r="D67" s="12" t="s">
        <v>7</v>
      </c>
      <c r="E67" s="12">
        <v>1</v>
      </c>
      <c r="F67" s="12">
        <v>38925</v>
      </c>
      <c r="G67" s="12">
        <f t="shared" ref="G67:G130" si="1">SUM(F67*E67)</f>
        <v>38925</v>
      </c>
      <c r="H67" s="13">
        <v>46179</v>
      </c>
      <c r="I67" s="12" t="s">
        <v>46</v>
      </c>
      <c r="J67" s="12" t="s">
        <v>65</v>
      </c>
      <c r="K67" s="12">
        <v>4.5999999999999996</v>
      </c>
    </row>
    <row r="68" spans="1:11">
      <c r="A68" s="12" t="s">
        <v>160</v>
      </c>
      <c r="B68" s="12" t="s">
        <v>114</v>
      </c>
      <c r="C68" s="12" t="s">
        <v>12</v>
      </c>
      <c r="D68" s="12" t="s">
        <v>7</v>
      </c>
      <c r="E68" s="12">
        <v>1</v>
      </c>
      <c r="F68" s="12">
        <v>34963</v>
      </c>
      <c r="G68" s="12">
        <f t="shared" si="1"/>
        <v>34963</v>
      </c>
      <c r="H68" s="13">
        <v>46145</v>
      </c>
      <c r="I68" s="12" t="s">
        <v>46</v>
      </c>
      <c r="J68" s="12" t="s">
        <v>30</v>
      </c>
      <c r="K68" s="12">
        <v>3.8</v>
      </c>
    </row>
    <row r="69" spans="1:11">
      <c r="A69" s="12" t="s">
        <v>161</v>
      </c>
      <c r="B69" s="12" t="s">
        <v>119</v>
      </c>
      <c r="C69" s="12" t="s">
        <v>15</v>
      </c>
      <c r="D69" s="12" t="s">
        <v>7</v>
      </c>
      <c r="E69" s="12">
        <v>3</v>
      </c>
      <c r="F69" s="12">
        <v>22367</v>
      </c>
      <c r="G69" s="12">
        <f t="shared" si="1"/>
        <v>67101</v>
      </c>
      <c r="H69" s="13">
        <v>46135</v>
      </c>
      <c r="I69" s="12" t="s">
        <v>64</v>
      </c>
      <c r="J69" s="12" t="s">
        <v>65</v>
      </c>
      <c r="K69" s="12">
        <v>5</v>
      </c>
    </row>
    <row r="70" spans="1:11">
      <c r="A70" s="12" t="s">
        <v>162</v>
      </c>
      <c r="B70" s="12" t="s">
        <v>163</v>
      </c>
      <c r="C70" s="12" t="s">
        <v>55</v>
      </c>
      <c r="D70" s="12" t="s">
        <v>56</v>
      </c>
      <c r="E70" s="12">
        <v>1</v>
      </c>
      <c r="F70" s="12">
        <v>21314</v>
      </c>
      <c r="G70" s="12">
        <f t="shared" si="1"/>
        <v>21314</v>
      </c>
      <c r="H70" s="13">
        <v>46163</v>
      </c>
      <c r="I70" s="12" t="s">
        <v>46</v>
      </c>
      <c r="J70" s="12" t="s">
        <v>30</v>
      </c>
      <c r="K70" s="12">
        <v>3.7</v>
      </c>
    </row>
    <row r="71" spans="1:11">
      <c r="A71" s="12" t="s">
        <v>164</v>
      </c>
      <c r="B71" s="12" t="s">
        <v>159</v>
      </c>
      <c r="C71" s="12" t="s">
        <v>55</v>
      </c>
      <c r="D71" s="12" t="s">
        <v>56</v>
      </c>
      <c r="E71" s="12">
        <v>5</v>
      </c>
      <c r="F71" s="12">
        <v>36276</v>
      </c>
      <c r="G71" s="12">
        <f t="shared" si="1"/>
        <v>181380</v>
      </c>
      <c r="H71" s="13">
        <v>46089</v>
      </c>
      <c r="I71" s="12" t="s">
        <v>9</v>
      </c>
      <c r="J71" s="12" t="s">
        <v>30</v>
      </c>
      <c r="K71" s="12">
        <v>4.9000000000000004</v>
      </c>
    </row>
    <row r="72" spans="1:11">
      <c r="A72" s="12" t="s">
        <v>165</v>
      </c>
      <c r="B72" s="12" t="s">
        <v>119</v>
      </c>
      <c r="C72" s="12" t="s">
        <v>16</v>
      </c>
      <c r="D72" s="12" t="s">
        <v>14</v>
      </c>
      <c r="E72" s="12">
        <v>3</v>
      </c>
      <c r="F72" s="12">
        <v>32923</v>
      </c>
      <c r="G72" s="12">
        <f t="shared" si="1"/>
        <v>98769</v>
      </c>
      <c r="H72" s="13">
        <v>46061</v>
      </c>
      <c r="I72" s="12" t="s">
        <v>35</v>
      </c>
      <c r="J72" s="12" t="s">
        <v>8</v>
      </c>
      <c r="K72" s="12">
        <v>4.2</v>
      </c>
    </row>
    <row r="73" spans="1:11">
      <c r="A73" s="12" t="s">
        <v>166</v>
      </c>
      <c r="B73" s="12" t="s">
        <v>167</v>
      </c>
      <c r="C73" s="12" t="s">
        <v>12</v>
      </c>
      <c r="D73" s="12" t="s">
        <v>7</v>
      </c>
      <c r="E73" s="12">
        <v>4</v>
      </c>
      <c r="F73" s="12">
        <v>11944</v>
      </c>
      <c r="G73" s="12">
        <f t="shared" si="1"/>
        <v>47776</v>
      </c>
      <c r="H73" s="13">
        <v>46142</v>
      </c>
      <c r="I73" s="12" t="s">
        <v>35</v>
      </c>
      <c r="J73" s="12" t="s">
        <v>65</v>
      </c>
      <c r="K73" s="12">
        <v>3.7</v>
      </c>
    </row>
    <row r="74" spans="1:11">
      <c r="A74" s="12" t="s">
        <v>168</v>
      </c>
      <c r="B74" s="12" t="s">
        <v>45</v>
      </c>
      <c r="C74" s="12" t="s">
        <v>55</v>
      </c>
      <c r="D74" s="12" t="s">
        <v>56</v>
      </c>
      <c r="E74" s="12">
        <v>3</v>
      </c>
      <c r="F74" s="12">
        <v>32183</v>
      </c>
      <c r="G74" s="12">
        <f t="shared" si="1"/>
        <v>96549</v>
      </c>
      <c r="H74" s="13">
        <v>46116</v>
      </c>
      <c r="I74" s="12" t="s">
        <v>46</v>
      </c>
      <c r="J74" s="12" t="s">
        <v>40</v>
      </c>
      <c r="K74" s="12">
        <v>4</v>
      </c>
    </row>
    <row r="75" spans="1:11">
      <c r="A75" s="12" t="s">
        <v>169</v>
      </c>
      <c r="B75" s="12" t="s">
        <v>170</v>
      </c>
      <c r="C75" s="12" t="s">
        <v>12</v>
      </c>
      <c r="D75" s="12" t="s">
        <v>7</v>
      </c>
      <c r="E75" s="12">
        <v>3</v>
      </c>
      <c r="F75" s="12">
        <v>48487</v>
      </c>
      <c r="G75" s="12">
        <f t="shared" si="1"/>
        <v>145461</v>
      </c>
      <c r="H75" s="13">
        <v>46140</v>
      </c>
      <c r="I75" s="12" t="s">
        <v>64</v>
      </c>
      <c r="J75" s="12" t="s">
        <v>30</v>
      </c>
      <c r="K75" s="12">
        <v>4.4000000000000004</v>
      </c>
    </row>
    <row r="76" spans="1:11">
      <c r="A76" s="12" t="s">
        <v>171</v>
      </c>
      <c r="B76" s="12" t="s">
        <v>91</v>
      </c>
      <c r="C76" s="12" t="s">
        <v>79</v>
      </c>
      <c r="D76" s="12" t="s">
        <v>80</v>
      </c>
      <c r="E76" s="12">
        <v>1</v>
      </c>
      <c r="F76" s="12">
        <v>36031</v>
      </c>
      <c r="G76" s="12">
        <f t="shared" si="1"/>
        <v>36031</v>
      </c>
      <c r="H76" s="13">
        <v>46140</v>
      </c>
      <c r="I76" s="12" t="s">
        <v>9</v>
      </c>
      <c r="J76" s="12" t="s">
        <v>8</v>
      </c>
      <c r="K76" s="12">
        <v>4</v>
      </c>
    </row>
    <row r="77" spans="1:11">
      <c r="A77" s="12" t="s">
        <v>172</v>
      </c>
      <c r="B77" s="12" t="s">
        <v>173</v>
      </c>
      <c r="C77" s="12" t="s">
        <v>55</v>
      </c>
      <c r="D77" s="12" t="s">
        <v>56</v>
      </c>
      <c r="E77" s="12">
        <v>1</v>
      </c>
      <c r="F77" s="12">
        <v>34071</v>
      </c>
      <c r="G77" s="12">
        <f t="shared" si="1"/>
        <v>34071</v>
      </c>
      <c r="H77" s="13">
        <v>46117</v>
      </c>
      <c r="I77" s="12" t="s">
        <v>46</v>
      </c>
      <c r="J77" s="12" t="s">
        <v>8</v>
      </c>
      <c r="K77" s="12">
        <v>3.2</v>
      </c>
    </row>
    <row r="78" spans="1:11">
      <c r="A78" s="12" t="s">
        <v>174</v>
      </c>
      <c r="B78" s="12" t="s">
        <v>175</v>
      </c>
      <c r="C78" s="12" t="s">
        <v>59</v>
      </c>
      <c r="D78" s="12" t="s">
        <v>7</v>
      </c>
      <c r="E78" s="12">
        <v>4</v>
      </c>
      <c r="F78" s="12">
        <v>9944</v>
      </c>
      <c r="G78" s="12">
        <f t="shared" si="1"/>
        <v>39776</v>
      </c>
      <c r="H78" s="13">
        <v>46186</v>
      </c>
      <c r="I78" s="12" t="s">
        <v>46</v>
      </c>
      <c r="J78" s="12" t="s">
        <v>40</v>
      </c>
      <c r="K78" s="12">
        <v>4.5</v>
      </c>
    </row>
    <row r="79" spans="1:11">
      <c r="A79" s="12" t="s">
        <v>176</v>
      </c>
      <c r="B79" s="12" t="s">
        <v>114</v>
      </c>
      <c r="C79" s="12" t="s">
        <v>10</v>
      </c>
      <c r="D79" s="12" t="s">
        <v>11</v>
      </c>
      <c r="E79" s="12">
        <v>2</v>
      </c>
      <c r="F79" s="12">
        <v>18459</v>
      </c>
      <c r="G79" s="12">
        <f t="shared" si="1"/>
        <v>36918</v>
      </c>
      <c r="H79" s="13">
        <v>46170</v>
      </c>
      <c r="I79" s="12" t="s">
        <v>9</v>
      </c>
      <c r="J79" s="12" t="s">
        <v>43</v>
      </c>
      <c r="K79" s="12">
        <v>3.2</v>
      </c>
    </row>
    <row r="80" spans="1:11">
      <c r="A80" s="12" t="s">
        <v>177</v>
      </c>
      <c r="B80" s="12" t="s">
        <v>178</v>
      </c>
      <c r="C80" s="12" t="s">
        <v>13</v>
      </c>
      <c r="D80" s="12" t="s">
        <v>14</v>
      </c>
      <c r="E80" s="12">
        <v>5</v>
      </c>
      <c r="F80" s="12">
        <v>23844</v>
      </c>
      <c r="G80" s="12">
        <f t="shared" si="1"/>
        <v>119220</v>
      </c>
      <c r="H80" s="13">
        <v>46179</v>
      </c>
      <c r="I80" s="12" t="s">
        <v>64</v>
      </c>
      <c r="J80" s="12" t="s">
        <v>30</v>
      </c>
      <c r="K80" s="12">
        <v>4.4000000000000004</v>
      </c>
    </row>
    <row r="81" spans="1:11">
      <c r="A81" s="12" t="s">
        <v>179</v>
      </c>
      <c r="B81" s="12" t="s">
        <v>150</v>
      </c>
      <c r="C81" s="12" t="s">
        <v>16</v>
      </c>
      <c r="D81" s="12" t="s">
        <v>14</v>
      </c>
      <c r="E81" s="12">
        <v>1</v>
      </c>
      <c r="F81" s="12">
        <v>40471</v>
      </c>
      <c r="G81" s="12">
        <f t="shared" si="1"/>
        <v>40471</v>
      </c>
      <c r="H81" s="13">
        <v>46079</v>
      </c>
      <c r="I81" s="12" t="s">
        <v>46</v>
      </c>
      <c r="J81" s="12" t="s">
        <v>43</v>
      </c>
      <c r="K81" s="12">
        <v>4.5</v>
      </c>
    </row>
    <row r="82" spans="1:11">
      <c r="A82" s="12" t="s">
        <v>180</v>
      </c>
      <c r="B82" s="12" t="s">
        <v>159</v>
      </c>
      <c r="C82" s="12" t="s">
        <v>52</v>
      </c>
      <c r="D82" s="12" t="s">
        <v>11</v>
      </c>
      <c r="E82" s="12">
        <v>1</v>
      </c>
      <c r="F82" s="12">
        <v>46209</v>
      </c>
      <c r="G82" s="12">
        <f t="shared" si="1"/>
        <v>46209</v>
      </c>
      <c r="H82" s="13">
        <v>46128</v>
      </c>
      <c r="I82" s="12" t="s">
        <v>9</v>
      </c>
      <c r="J82" s="12" t="s">
        <v>65</v>
      </c>
      <c r="K82" s="12">
        <v>3.1</v>
      </c>
    </row>
    <row r="83" spans="1:11">
      <c r="A83" s="12" t="s">
        <v>181</v>
      </c>
      <c r="B83" s="12" t="s">
        <v>182</v>
      </c>
      <c r="C83" s="12" t="s">
        <v>6</v>
      </c>
      <c r="D83" s="12" t="s">
        <v>7</v>
      </c>
      <c r="E83" s="12">
        <v>1</v>
      </c>
      <c r="F83" s="12">
        <v>35696</v>
      </c>
      <c r="G83" s="12">
        <f t="shared" si="1"/>
        <v>35696</v>
      </c>
      <c r="H83" s="13">
        <v>46095</v>
      </c>
      <c r="I83" s="12" t="s">
        <v>74</v>
      </c>
      <c r="J83" s="12" t="s">
        <v>65</v>
      </c>
      <c r="K83" s="12">
        <v>4.4000000000000004</v>
      </c>
    </row>
    <row r="84" spans="1:11">
      <c r="A84" s="12" t="s">
        <v>183</v>
      </c>
      <c r="B84" s="12" t="s">
        <v>184</v>
      </c>
      <c r="C84" s="12" t="s">
        <v>12</v>
      </c>
      <c r="D84" s="12" t="s">
        <v>7</v>
      </c>
      <c r="E84" s="12">
        <v>5</v>
      </c>
      <c r="F84" s="12">
        <v>3461</v>
      </c>
      <c r="G84" s="12">
        <f t="shared" si="1"/>
        <v>17305</v>
      </c>
      <c r="H84" s="13">
        <v>46042</v>
      </c>
      <c r="I84" s="12" t="s">
        <v>27</v>
      </c>
      <c r="J84" s="12" t="s">
        <v>8</v>
      </c>
      <c r="K84" s="12">
        <v>3.5</v>
      </c>
    </row>
    <row r="85" spans="1:11">
      <c r="A85" s="12" t="s">
        <v>185</v>
      </c>
      <c r="B85" s="12" t="s">
        <v>186</v>
      </c>
      <c r="C85" s="12" t="s">
        <v>10</v>
      </c>
      <c r="D85" s="12" t="s">
        <v>11</v>
      </c>
      <c r="E85" s="12">
        <v>5</v>
      </c>
      <c r="F85" s="12">
        <v>46388</v>
      </c>
      <c r="G85" s="12">
        <f t="shared" si="1"/>
        <v>231940</v>
      </c>
      <c r="H85" s="13">
        <v>46046</v>
      </c>
      <c r="I85" s="12" t="s">
        <v>27</v>
      </c>
      <c r="J85" s="12" t="s">
        <v>8</v>
      </c>
      <c r="K85" s="12">
        <v>4.4000000000000004</v>
      </c>
    </row>
    <row r="86" spans="1:11">
      <c r="A86" s="12" t="s">
        <v>187</v>
      </c>
      <c r="B86" s="12" t="s">
        <v>84</v>
      </c>
      <c r="C86" s="12" t="s">
        <v>13</v>
      </c>
      <c r="D86" s="12" t="s">
        <v>14</v>
      </c>
      <c r="E86" s="12">
        <v>1</v>
      </c>
      <c r="F86" s="12">
        <v>33565</v>
      </c>
      <c r="G86" s="12">
        <f t="shared" si="1"/>
        <v>33565</v>
      </c>
      <c r="H86" s="13">
        <v>46115</v>
      </c>
      <c r="I86" s="12" t="s">
        <v>27</v>
      </c>
      <c r="J86" s="12" t="s">
        <v>30</v>
      </c>
      <c r="K86" s="12">
        <v>3.3</v>
      </c>
    </row>
    <row r="87" spans="1:11">
      <c r="A87" s="12" t="s">
        <v>188</v>
      </c>
      <c r="B87" s="12" t="s">
        <v>29</v>
      </c>
      <c r="C87" s="12" t="s">
        <v>15</v>
      </c>
      <c r="D87" s="12" t="s">
        <v>7</v>
      </c>
      <c r="E87" s="12">
        <v>5</v>
      </c>
      <c r="F87" s="12">
        <v>28257</v>
      </c>
      <c r="G87" s="12">
        <f t="shared" si="1"/>
        <v>141285</v>
      </c>
      <c r="H87" s="13">
        <v>46097</v>
      </c>
      <c r="I87" s="12" t="s">
        <v>9</v>
      </c>
      <c r="J87" s="12" t="s">
        <v>30</v>
      </c>
      <c r="K87" s="12">
        <v>3.5</v>
      </c>
    </row>
    <row r="88" spans="1:11">
      <c r="A88" s="12" t="s">
        <v>189</v>
      </c>
      <c r="B88" s="12" t="s">
        <v>190</v>
      </c>
      <c r="C88" s="12" t="s">
        <v>13</v>
      </c>
      <c r="D88" s="12" t="s">
        <v>14</v>
      </c>
      <c r="E88" s="12">
        <v>4</v>
      </c>
      <c r="F88" s="12">
        <v>46335</v>
      </c>
      <c r="G88" s="12">
        <f t="shared" si="1"/>
        <v>185340</v>
      </c>
      <c r="H88" s="13">
        <v>46045</v>
      </c>
      <c r="I88" s="12" t="s">
        <v>46</v>
      </c>
      <c r="J88" s="12" t="s">
        <v>8</v>
      </c>
      <c r="K88" s="12">
        <v>4.8</v>
      </c>
    </row>
    <row r="89" spans="1:11">
      <c r="A89" s="12" t="s">
        <v>191</v>
      </c>
      <c r="B89" s="12" t="s">
        <v>182</v>
      </c>
      <c r="C89" s="12" t="s">
        <v>13</v>
      </c>
      <c r="D89" s="12" t="s">
        <v>14</v>
      </c>
      <c r="E89" s="12">
        <v>3</v>
      </c>
      <c r="F89" s="12">
        <v>33267</v>
      </c>
      <c r="G89" s="12">
        <f t="shared" si="1"/>
        <v>99801</v>
      </c>
      <c r="H89" s="13">
        <v>46094</v>
      </c>
      <c r="I89" s="12" t="s">
        <v>64</v>
      </c>
      <c r="J89" s="12" t="s">
        <v>65</v>
      </c>
      <c r="K89" s="12">
        <v>3.1</v>
      </c>
    </row>
    <row r="90" spans="1:11">
      <c r="A90" s="12" t="s">
        <v>192</v>
      </c>
      <c r="B90" s="12" t="s">
        <v>193</v>
      </c>
      <c r="C90" s="12" t="s">
        <v>15</v>
      </c>
      <c r="D90" s="12" t="s">
        <v>7</v>
      </c>
      <c r="E90" s="12">
        <v>1</v>
      </c>
      <c r="F90" s="12">
        <v>29290</v>
      </c>
      <c r="G90" s="12">
        <f t="shared" si="1"/>
        <v>29290</v>
      </c>
      <c r="H90" s="13">
        <v>46032</v>
      </c>
      <c r="I90" s="12" t="s">
        <v>27</v>
      </c>
      <c r="J90" s="12" t="s">
        <v>65</v>
      </c>
      <c r="K90" s="12">
        <v>4.4000000000000004</v>
      </c>
    </row>
    <row r="91" spans="1:11">
      <c r="A91" s="12" t="s">
        <v>194</v>
      </c>
      <c r="B91" s="12" t="s">
        <v>91</v>
      </c>
      <c r="C91" s="12" t="s">
        <v>59</v>
      </c>
      <c r="D91" s="12" t="s">
        <v>7</v>
      </c>
      <c r="E91" s="12">
        <v>3</v>
      </c>
      <c r="F91" s="12">
        <v>47354</v>
      </c>
      <c r="G91" s="12">
        <f t="shared" si="1"/>
        <v>142062</v>
      </c>
      <c r="H91" s="13">
        <v>46102</v>
      </c>
      <c r="I91" s="12" t="s">
        <v>74</v>
      </c>
      <c r="J91" s="12" t="s">
        <v>65</v>
      </c>
      <c r="K91" s="12">
        <v>4</v>
      </c>
    </row>
    <row r="92" spans="1:11">
      <c r="A92" s="12" t="s">
        <v>195</v>
      </c>
      <c r="B92" s="12" t="s">
        <v>102</v>
      </c>
      <c r="C92" s="12" t="s">
        <v>6</v>
      </c>
      <c r="D92" s="12" t="s">
        <v>7</v>
      </c>
      <c r="E92" s="12">
        <v>1</v>
      </c>
      <c r="F92" s="12">
        <v>26480</v>
      </c>
      <c r="G92" s="12">
        <f t="shared" si="1"/>
        <v>26480</v>
      </c>
      <c r="H92" s="13">
        <v>46128</v>
      </c>
      <c r="I92" s="12" t="s">
        <v>35</v>
      </c>
      <c r="J92" s="12" t="s">
        <v>30</v>
      </c>
      <c r="K92" s="12">
        <v>4.8</v>
      </c>
    </row>
    <row r="93" spans="1:11">
      <c r="A93" s="12" t="s">
        <v>196</v>
      </c>
      <c r="B93" s="12" t="s">
        <v>32</v>
      </c>
      <c r="C93" s="12" t="s">
        <v>52</v>
      </c>
      <c r="D93" s="12" t="s">
        <v>11</v>
      </c>
      <c r="E93" s="12">
        <v>1</v>
      </c>
      <c r="F93" s="12">
        <v>17191</v>
      </c>
      <c r="G93" s="12">
        <f t="shared" si="1"/>
        <v>17191</v>
      </c>
      <c r="H93" s="13">
        <v>46073</v>
      </c>
      <c r="I93" s="12" t="s">
        <v>74</v>
      </c>
      <c r="J93" s="12" t="s">
        <v>43</v>
      </c>
      <c r="K93" s="12">
        <v>4.3</v>
      </c>
    </row>
    <row r="94" spans="1:11">
      <c r="A94" s="12" t="s">
        <v>197</v>
      </c>
      <c r="B94" s="12" t="s">
        <v>29</v>
      </c>
      <c r="C94" s="12" t="s">
        <v>79</v>
      </c>
      <c r="D94" s="12" t="s">
        <v>80</v>
      </c>
      <c r="E94" s="12">
        <v>1</v>
      </c>
      <c r="F94" s="12">
        <v>47185</v>
      </c>
      <c r="G94" s="12">
        <f t="shared" si="1"/>
        <v>47185</v>
      </c>
      <c r="H94" s="13">
        <v>46142</v>
      </c>
      <c r="I94" s="12" t="s">
        <v>74</v>
      </c>
      <c r="J94" s="12" t="s">
        <v>40</v>
      </c>
      <c r="K94" s="12">
        <v>4.5999999999999996</v>
      </c>
    </row>
    <row r="95" spans="1:11">
      <c r="A95" s="12" t="s">
        <v>198</v>
      </c>
      <c r="B95" s="12" t="s">
        <v>199</v>
      </c>
      <c r="C95" s="12" t="s">
        <v>6</v>
      </c>
      <c r="D95" s="12" t="s">
        <v>7</v>
      </c>
      <c r="E95" s="12">
        <v>5</v>
      </c>
      <c r="F95" s="12">
        <v>11172</v>
      </c>
      <c r="G95" s="12">
        <f t="shared" si="1"/>
        <v>55860</v>
      </c>
      <c r="H95" s="13">
        <v>46165</v>
      </c>
      <c r="I95" s="12" t="s">
        <v>49</v>
      </c>
      <c r="J95" s="12" t="s">
        <v>8</v>
      </c>
      <c r="K95" s="12">
        <v>4.5</v>
      </c>
    </row>
    <row r="96" spans="1:11">
      <c r="A96" s="12" t="s">
        <v>200</v>
      </c>
      <c r="B96" s="12" t="s">
        <v>141</v>
      </c>
      <c r="C96" s="12" t="s">
        <v>105</v>
      </c>
      <c r="D96" s="12" t="s">
        <v>106</v>
      </c>
      <c r="E96" s="12">
        <v>3</v>
      </c>
      <c r="F96" s="12">
        <v>2243</v>
      </c>
      <c r="G96" s="12">
        <f t="shared" si="1"/>
        <v>6729</v>
      </c>
      <c r="H96" s="13">
        <v>46193</v>
      </c>
      <c r="I96" s="12" t="s">
        <v>64</v>
      </c>
      <c r="J96" s="12" t="s">
        <v>8</v>
      </c>
      <c r="K96" s="12">
        <v>3.6</v>
      </c>
    </row>
    <row r="97" spans="1:11">
      <c r="A97" s="12" t="s">
        <v>201</v>
      </c>
      <c r="B97" s="12" t="s">
        <v>32</v>
      </c>
      <c r="C97" s="12" t="s">
        <v>26</v>
      </c>
      <c r="D97" s="12" t="s">
        <v>7</v>
      </c>
      <c r="E97" s="12">
        <v>1</v>
      </c>
      <c r="F97" s="12">
        <v>43083</v>
      </c>
      <c r="G97" s="12">
        <f t="shared" si="1"/>
        <v>43083</v>
      </c>
      <c r="H97" s="13">
        <v>46164</v>
      </c>
      <c r="I97" s="12" t="s">
        <v>27</v>
      </c>
      <c r="J97" s="12" t="s">
        <v>8</v>
      </c>
      <c r="K97" s="12">
        <v>4.2</v>
      </c>
    </row>
    <row r="98" spans="1:11">
      <c r="A98" s="12" t="s">
        <v>202</v>
      </c>
      <c r="B98" s="12" t="s">
        <v>203</v>
      </c>
      <c r="C98" s="12" t="s">
        <v>55</v>
      </c>
      <c r="D98" s="12" t="s">
        <v>56</v>
      </c>
      <c r="E98" s="12">
        <v>3</v>
      </c>
      <c r="F98" s="12">
        <v>34390</v>
      </c>
      <c r="G98" s="12">
        <f t="shared" si="1"/>
        <v>103170</v>
      </c>
      <c r="H98" s="13">
        <v>46138</v>
      </c>
      <c r="I98" s="12" t="s">
        <v>46</v>
      </c>
      <c r="J98" s="12" t="s">
        <v>65</v>
      </c>
      <c r="K98" s="12">
        <v>3.7</v>
      </c>
    </row>
    <row r="99" spans="1:11">
      <c r="A99" s="12" t="s">
        <v>204</v>
      </c>
      <c r="B99" s="12" t="s">
        <v>205</v>
      </c>
      <c r="C99" s="12" t="s">
        <v>10</v>
      </c>
      <c r="D99" s="12" t="s">
        <v>11</v>
      </c>
      <c r="E99" s="12">
        <v>4</v>
      </c>
      <c r="F99" s="12">
        <v>15607</v>
      </c>
      <c r="G99" s="12">
        <f t="shared" si="1"/>
        <v>62428</v>
      </c>
      <c r="H99" s="13">
        <v>46042</v>
      </c>
      <c r="I99" s="12" t="s">
        <v>27</v>
      </c>
      <c r="J99" s="12" t="s">
        <v>8</v>
      </c>
      <c r="K99" s="12">
        <v>3.8</v>
      </c>
    </row>
    <row r="100" spans="1:11">
      <c r="A100" s="12" t="s">
        <v>206</v>
      </c>
      <c r="B100" s="12" t="s">
        <v>205</v>
      </c>
      <c r="C100" s="12" t="s">
        <v>105</v>
      </c>
      <c r="D100" s="12" t="s">
        <v>106</v>
      </c>
      <c r="E100" s="12">
        <v>3</v>
      </c>
      <c r="F100" s="12">
        <v>43731</v>
      </c>
      <c r="G100" s="12">
        <f t="shared" si="1"/>
        <v>131193</v>
      </c>
      <c r="H100" s="13">
        <v>46074</v>
      </c>
      <c r="I100" s="12" t="s">
        <v>9</v>
      </c>
      <c r="J100" s="12" t="s">
        <v>65</v>
      </c>
      <c r="K100" s="12">
        <v>3.9</v>
      </c>
    </row>
    <row r="101" spans="1:11">
      <c r="A101" s="12" t="s">
        <v>207</v>
      </c>
      <c r="B101" s="12" t="s">
        <v>155</v>
      </c>
      <c r="C101" s="12" t="s">
        <v>79</v>
      </c>
      <c r="D101" s="12" t="s">
        <v>80</v>
      </c>
      <c r="E101" s="12">
        <v>5</v>
      </c>
      <c r="F101" s="12">
        <v>40517</v>
      </c>
      <c r="G101" s="12">
        <f t="shared" si="1"/>
        <v>202585</v>
      </c>
      <c r="H101" s="13">
        <v>46141</v>
      </c>
      <c r="I101" s="12" t="s">
        <v>49</v>
      </c>
      <c r="J101" s="12" t="s">
        <v>40</v>
      </c>
      <c r="K101" s="12">
        <v>3.8</v>
      </c>
    </row>
    <row r="102" spans="1:11">
      <c r="A102" s="12" t="s">
        <v>208</v>
      </c>
      <c r="B102" s="12" t="s">
        <v>175</v>
      </c>
      <c r="C102" s="12" t="s">
        <v>12</v>
      </c>
      <c r="D102" s="12" t="s">
        <v>7</v>
      </c>
      <c r="E102" s="12">
        <v>5</v>
      </c>
      <c r="F102" s="12">
        <v>35108</v>
      </c>
      <c r="G102" s="12">
        <f t="shared" si="1"/>
        <v>175540</v>
      </c>
      <c r="H102" s="13">
        <v>46103</v>
      </c>
      <c r="I102" s="12" t="s">
        <v>74</v>
      </c>
      <c r="J102" s="12" t="s">
        <v>8</v>
      </c>
      <c r="K102" s="12">
        <v>3.9</v>
      </c>
    </row>
    <row r="103" spans="1:11">
      <c r="A103" s="12" t="s">
        <v>209</v>
      </c>
      <c r="B103" s="12" t="s">
        <v>210</v>
      </c>
      <c r="C103" s="12" t="s">
        <v>105</v>
      </c>
      <c r="D103" s="12" t="s">
        <v>106</v>
      </c>
      <c r="E103" s="12">
        <v>2</v>
      </c>
      <c r="F103" s="12">
        <v>23237</v>
      </c>
      <c r="G103" s="12">
        <f t="shared" si="1"/>
        <v>46474</v>
      </c>
      <c r="H103" s="13">
        <v>46157</v>
      </c>
      <c r="I103" s="12" t="s">
        <v>64</v>
      </c>
      <c r="J103" s="12" t="s">
        <v>43</v>
      </c>
      <c r="K103" s="12">
        <v>4.8</v>
      </c>
    </row>
    <row r="104" spans="1:11">
      <c r="A104" s="12" t="s">
        <v>211</v>
      </c>
      <c r="B104" s="12" t="s">
        <v>175</v>
      </c>
      <c r="C104" s="12" t="s">
        <v>26</v>
      </c>
      <c r="D104" s="12" t="s">
        <v>7</v>
      </c>
      <c r="E104" s="12">
        <v>5</v>
      </c>
      <c r="F104" s="12">
        <v>16211</v>
      </c>
      <c r="G104" s="12">
        <f t="shared" si="1"/>
        <v>81055</v>
      </c>
      <c r="H104" s="13">
        <v>46098</v>
      </c>
      <c r="I104" s="12" t="s">
        <v>46</v>
      </c>
      <c r="J104" s="12" t="s">
        <v>30</v>
      </c>
      <c r="K104" s="12">
        <v>4.5999999999999996</v>
      </c>
    </row>
    <row r="105" spans="1:11">
      <c r="A105" s="12" t="s">
        <v>212</v>
      </c>
      <c r="B105" s="12" t="s">
        <v>213</v>
      </c>
      <c r="C105" s="12" t="s">
        <v>79</v>
      </c>
      <c r="D105" s="12" t="s">
        <v>80</v>
      </c>
      <c r="E105" s="12">
        <v>4</v>
      </c>
      <c r="F105" s="12">
        <v>28117</v>
      </c>
      <c r="G105" s="12">
        <f t="shared" si="1"/>
        <v>112468</v>
      </c>
      <c r="H105" s="13">
        <v>46064</v>
      </c>
      <c r="I105" s="12" t="s">
        <v>64</v>
      </c>
      <c r="J105" s="12" t="s">
        <v>43</v>
      </c>
      <c r="K105" s="12">
        <v>4.5999999999999996</v>
      </c>
    </row>
    <row r="106" spans="1:11">
      <c r="A106" s="12" t="s">
        <v>214</v>
      </c>
      <c r="B106" s="12" t="s">
        <v>184</v>
      </c>
      <c r="C106" s="12" t="s">
        <v>52</v>
      </c>
      <c r="D106" s="12" t="s">
        <v>11</v>
      </c>
      <c r="E106" s="12">
        <v>1</v>
      </c>
      <c r="F106" s="12">
        <v>42459</v>
      </c>
      <c r="G106" s="12">
        <f t="shared" si="1"/>
        <v>42459</v>
      </c>
      <c r="H106" s="13">
        <v>46040</v>
      </c>
      <c r="I106" s="12" t="s">
        <v>64</v>
      </c>
      <c r="J106" s="12" t="s">
        <v>8</v>
      </c>
      <c r="K106" s="12">
        <v>3.3</v>
      </c>
    </row>
    <row r="107" spans="1:11">
      <c r="A107" s="12" t="s">
        <v>215</v>
      </c>
      <c r="B107" s="12" t="s">
        <v>112</v>
      </c>
      <c r="C107" s="12" t="s">
        <v>79</v>
      </c>
      <c r="D107" s="12" t="s">
        <v>80</v>
      </c>
      <c r="E107" s="12">
        <v>1</v>
      </c>
      <c r="F107" s="12">
        <v>39282</v>
      </c>
      <c r="G107" s="12">
        <f t="shared" si="1"/>
        <v>39282</v>
      </c>
      <c r="H107" s="13">
        <v>46185</v>
      </c>
      <c r="I107" s="12" t="s">
        <v>46</v>
      </c>
      <c r="J107" s="12" t="s">
        <v>43</v>
      </c>
      <c r="K107" s="12">
        <v>4.9000000000000004</v>
      </c>
    </row>
    <row r="108" spans="1:11">
      <c r="A108" s="12" t="s">
        <v>216</v>
      </c>
      <c r="B108" s="12" t="s">
        <v>78</v>
      </c>
      <c r="C108" s="12" t="s">
        <v>10</v>
      </c>
      <c r="D108" s="12" t="s">
        <v>11</v>
      </c>
      <c r="E108" s="12">
        <v>5</v>
      </c>
      <c r="F108" s="12">
        <v>29569</v>
      </c>
      <c r="G108" s="12">
        <f t="shared" si="1"/>
        <v>147845</v>
      </c>
      <c r="H108" s="13">
        <v>46090</v>
      </c>
      <c r="I108" s="12" t="s">
        <v>9</v>
      </c>
      <c r="J108" s="12" t="s">
        <v>43</v>
      </c>
      <c r="K108" s="12">
        <v>3.6</v>
      </c>
    </row>
    <row r="109" spans="1:11">
      <c r="A109" s="12" t="s">
        <v>217</v>
      </c>
      <c r="B109" s="12" t="s">
        <v>122</v>
      </c>
      <c r="C109" s="12" t="s">
        <v>12</v>
      </c>
      <c r="D109" s="12" t="s">
        <v>7</v>
      </c>
      <c r="E109" s="12">
        <v>3</v>
      </c>
      <c r="F109" s="12">
        <v>48814</v>
      </c>
      <c r="G109" s="12">
        <f t="shared" si="1"/>
        <v>146442</v>
      </c>
      <c r="H109" s="13">
        <v>46103</v>
      </c>
      <c r="I109" s="12" t="s">
        <v>35</v>
      </c>
      <c r="J109" s="12" t="s">
        <v>8</v>
      </c>
      <c r="K109" s="12">
        <v>3.9</v>
      </c>
    </row>
    <row r="110" spans="1:11">
      <c r="A110" s="12" t="s">
        <v>218</v>
      </c>
      <c r="B110" s="12" t="s">
        <v>219</v>
      </c>
      <c r="C110" s="12" t="s">
        <v>6</v>
      </c>
      <c r="D110" s="12" t="s">
        <v>7</v>
      </c>
      <c r="E110" s="12">
        <v>3</v>
      </c>
      <c r="F110" s="12">
        <v>40787</v>
      </c>
      <c r="G110" s="12">
        <f t="shared" si="1"/>
        <v>122361</v>
      </c>
      <c r="H110" s="13">
        <v>46047</v>
      </c>
      <c r="I110" s="12" t="s">
        <v>64</v>
      </c>
      <c r="J110" s="12" t="s">
        <v>8</v>
      </c>
      <c r="K110" s="12">
        <v>4.5999999999999996</v>
      </c>
    </row>
    <row r="111" spans="1:11">
      <c r="A111" s="12" t="s">
        <v>220</v>
      </c>
      <c r="B111" s="12" t="s">
        <v>175</v>
      </c>
      <c r="C111" s="12" t="s">
        <v>16</v>
      </c>
      <c r="D111" s="12" t="s">
        <v>14</v>
      </c>
      <c r="E111" s="12">
        <v>1</v>
      </c>
      <c r="F111" s="12">
        <v>46257</v>
      </c>
      <c r="G111" s="12">
        <f t="shared" si="1"/>
        <v>46257</v>
      </c>
      <c r="H111" s="13">
        <v>46190</v>
      </c>
      <c r="I111" s="12" t="s">
        <v>49</v>
      </c>
      <c r="J111" s="12" t="s">
        <v>8</v>
      </c>
      <c r="K111" s="12">
        <v>4.5999999999999996</v>
      </c>
    </row>
    <row r="112" spans="1:11">
      <c r="A112" s="12" t="s">
        <v>221</v>
      </c>
      <c r="B112" s="12" t="s">
        <v>114</v>
      </c>
      <c r="C112" s="12" t="s">
        <v>10</v>
      </c>
      <c r="D112" s="12" t="s">
        <v>11</v>
      </c>
      <c r="E112" s="12">
        <v>1</v>
      </c>
      <c r="F112" s="12">
        <v>36881</v>
      </c>
      <c r="G112" s="12">
        <f t="shared" si="1"/>
        <v>36881</v>
      </c>
      <c r="H112" s="13">
        <v>46026</v>
      </c>
      <c r="I112" s="12" t="s">
        <v>35</v>
      </c>
      <c r="J112" s="12" t="s">
        <v>8</v>
      </c>
      <c r="K112" s="12">
        <v>4.9000000000000004</v>
      </c>
    </row>
    <row r="113" spans="1:11">
      <c r="A113" s="12" t="s">
        <v>222</v>
      </c>
      <c r="B113" s="12" t="s">
        <v>223</v>
      </c>
      <c r="C113" s="12" t="s">
        <v>55</v>
      </c>
      <c r="D113" s="12" t="s">
        <v>56</v>
      </c>
      <c r="E113" s="12">
        <v>2</v>
      </c>
      <c r="F113" s="12">
        <v>43634</v>
      </c>
      <c r="G113" s="12">
        <f t="shared" si="1"/>
        <v>87268</v>
      </c>
      <c r="H113" s="13">
        <v>46024</v>
      </c>
      <c r="I113" s="12" t="s">
        <v>27</v>
      </c>
      <c r="J113" s="12" t="s">
        <v>65</v>
      </c>
      <c r="K113" s="12">
        <v>4.8</v>
      </c>
    </row>
    <row r="114" spans="1:11">
      <c r="A114" s="12" t="s">
        <v>224</v>
      </c>
      <c r="B114" s="12" t="s">
        <v>225</v>
      </c>
      <c r="C114" s="12" t="s">
        <v>55</v>
      </c>
      <c r="D114" s="12" t="s">
        <v>56</v>
      </c>
      <c r="E114" s="12">
        <v>1</v>
      </c>
      <c r="F114" s="12">
        <v>45054</v>
      </c>
      <c r="G114" s="12">
        <f t="shared" si="1"/>
        <v>45054</v>
      </c>
      <c r="H114" s="13">
        <v>46033</v>
      </c>
      <c r="I114" s="12" t="s">
        <v>64</v>
      </c>
      <c r="J114" s="12" t="s">
        <v>65</v>
      </c>
      <c r="K114" s="12">
        <v>3.9</v>
      </c>
    </row>
    <row r="115" spans="1:11">
      <c r="A115" s="12" t="s">
        <v>226</v>
      </c>
      <c r="B115" s="12" t="s">
        <v>108</v>
      </c>
      <c r="C115" s="12" t="s">
        <v>105</v>
      </c>
      <c r="D115" s="12" t="s">
        <v>106</v>
      </c>
      <c r="E115" s="12">
        <v>1</v>
      </c>
      <c r="F115" s="12">
        <v>45609</v>
      </c>
      <c r="G115" s="12">
        <f t="shared" si="1"/>
        <v>45609</v>
      </c>
      <c r="H115" s="13">
        <v>46134</v>
      </c>
      <c r="I115" s="12" t="s">
        <v>64</v>
      </c>
      <c r="J115" s="12" t="s">
        <v>30</v>
      </c>
      <c r="K115" s="12">
        <v>3.7</v>
      </c>
    </row>
    <row r="116" spans="1:11">
      <c r="A116" s="12" t="s">
        <v>227</v>
      </c>
      <c r="B116" s="12" t="s">
        <v>228</v>
      </c>
      <c r="C116" s="12" t="s">
        <v>6</v>
      </c>
      <c r="D116" s="12" t="s">
        <v>7</v>
      </c>
      <c r="E116" s="12">
        <v>2</v>
      </c>
      <c r="F116" s="12">
        <v>18322</v>
      </c>
      <c r="G116" s="12">
        <f t="shared" si="1"/>
        <v>36644</v>
      </c>
      <c r="H116" s="13">
        <v>46175</v>
      </c>
      <c r="I116" s="12" t="s">
        <v>49</v>
      </c>
      <c r="J116" s="12" t="s">
        <v>8</v>
      </c>
      <c r="K116" s="12">
        <v>3.2</v>
      </c>
    </row>
    <row r="117" spans="1:11">
      <c r="A117" s="12" t="s">
        <v>229</v>
      </c>
      <c r="B117" s="12" t="s">
        <v>137</v>
      </c>
      <c r="C117" s="12" t="s">
        <v>10</v>
      </c>
      <c r="D117" s="12" t="s">
        <v>11</v>
      </c>
      <c r="E117" s="12">
        <v>5</v>
      </c>
      <c r="F117" s="12">
        <v>36240</v>
      </c>
      <c r="G117" s="12">
        <f t="shared" si="1"/>
        <v>181200</v>
      </c>
      <c r="H117" s="13">
        <v>46092</v>
      </c>
      <c r="I117" s="12" t="s">
        <v>74</v>
      </c>
      <c r="J117" s="12" t="s">
        <v>30</v>
      </c>
      <c r="K117" s="12">
        <v>3.5</v>
      </c>
    </row>
    <row r="118" spans="1:11">
      <c r="A118" s="12" t="s">
        <v>230</v>
      </c>
      <c r="B118" s="12" t="s">
        <v>37</v>
      </c>
      <c r="C118" s="12" t="s">
        <v>26</v>
      </c>
      <c r="D118" s="12" t="s">
        <v>7</v>
      </c>
      <c r="E118" s="12">
        <v>4</v>
      </c>
      <c r="F118" s="12">
        <v>43933</v>
      </c>
      <c r="G118" s="12">
        <f t="shared" si="1"/>
        <v>175732</v>
      </c>
      <c r="H118" s="13">
        <v>46040</v>
      </c>
      <c r="I118" s="12" t="s">
        <v>49</v>
      </c>
      <c r="J118" s="12" t="s">
        <v>65</v>
      </c>
      <c r="K118" s="12">
        <v>3.2</v>
      </c>
    </row>
    <row r="119" spans="1:11">
      <c r="A119" s="12" t="s">
        <v>231</v>
      </c>
      <c r="B119" s="12" t="s">
        <v>63</v>
      </c>
      <c r="C119" s="12" t="s">
        <v>15</v>
      </c>
      <c r="D119" s="12" t="s">
        <v>7</v>
      </c>
      <c r="E119" s="12">
        <v>5</v>
      </c>
      <c r="F119" s="12">
        <v>19691</v>
      </c>
      <c r="G119" s="12">
        <f t="shared" si="1"/>
        <v>98455</v>
      </c>
      <c r="H119" s="13">
        <v>46127</v>
      </c>
      <c r="I119" s="12" t="s">
        <v>35</v>
      </c>
      <c r="J119" s="12" t="s">
        <v>43</v>
      </c>
      <c r="K119" s="12">
        <v>4</v>
      </c>
    </row>
    <row r="120" spans="1:11">
      <c r="A120" s="12" t="s">
        <v>232</v>
      </c>
      <c r="B120" s="12" t="s">
        <v>213</v>
      </c>
      <c r="C120" s="12" t="s">
        <v>26</v>
      </c>
      <c r="D120" s="12" t="s">
        <v>7</v>
      </c>
      <c r="E120" s="12">
        <v>5</v>
      </c>
      <c r="F120" s="12">
        <v>49645</v>
      </c>
      <c r="G120" s="12">
        <f t="shared" si="1"/>
        <v>248225</v>
      </c>
      <c r="H120" s="13">
        <v>46156</v>
      </c>
      <c r="I120" s="12" t="s">
        <v>64</v>
      </c>
      <c r="J120" s="12" t="s">
        <v>43</v>
      </c>
      <c r="K120" s="12">
        <v>4.5999999999999996</v>
      </c>
    </row>
    <row r="121" spans="1:11">
      <c r="A121" s="12" t="s">
        <v>233</v>
      </c>
      <c r="B121" s="12" t="s">
        <v>205</v>
      </c>
      <c r="C121" s="12" t="s">
        <v>6</v>
      </c>
      <c r="D121" s="12" t="s">
        <v>7</v>
      </c>
      <c r="E121" s="12">
        <v>1</v>
      </c>
      <c r="F121" s="12">
        <v>3412</v>
      </c>
      <c r="G121" s="12">
        <f t="shared" si="1"/>
        <v>3412</v>
      </c>
      <c r="H121" s="13">
        <v>46031</v>
      </c>
      <c r="I121" s="12" t="s">
        <v>27</v>
      </c>
      <c r="J121" s="12" t="s">
        <v>8</v>
      </c>
      <c r="K121" s="12">
        <v>3.9</v>
      </c>
    </row>
    <row r="122" spans="1:11">
      <c r="A122" s="12" t="s">
        <v>234</v>
      </c>
      <c r="B122" s="12" t="s">
        <v>235</v>
      </c>
      <c r="C122" s="12" t="s">
        <v>59</v>
      </c>
      <c r="D122" s="12" t="s">
        <v>7</v>
      </c>
      <c r="E122" s="12">
        <v>2</v>
      </c>
      <c r="F122" s="12">
        <v>38909</v>
      </c>
      <c r="G122" s="12">
        <f t="shared" si="1"/>
        <v>77818</v>
      </c>
      <c r="H122" s="13">
        <v>46124</v>
      </c>
      <c r="I122" s="12" t="s">
        <v>35</v>
      </c>
      <c r="J122" s="12" t="s">
        <v>8</v>
      </c>
      <c r="K122" s="12">
        <v>4.5</v>
      </c>
    </row>
    <row r="123" spans="1:11">
      <c r="A123" s="12" t="s">
        <v>236</v>
      </c>
      <c r="B123" s="12" t="s">
        <v>237</v>
      </c>
      <c r="C123" s="12" t="s">
        <v>15</v>
      </c>
      <c r="D123" s="12" t="s">
        <v>7</v>
      </c>
      <c r="E123" s="12">
        <v>2</v>
      </c>
      <c r="F123" s="12">
        <v>43951</v>
      </c>
      <c r="G123" s="12">
        <f t="shared" si="1"/>
        <v>87902</v>
      </c>
      <c r="H123" s="13">
        <v>46169</v>
      </c>
      <c r="I123" s="12" t="s">
        <v>9</v>
      </c>
      <c r="J123" s="12" t="s">
        <v>8</v>
      </c>
      <c r="K123" s="12">
        <v>4.5</v>
      </c>
    </row>
    <row r="124" spans="1:11">
      <c r="A124" s="12" t="s">
        <v>238</v>
      </c>
      <c r="B124" s="12" t="s">
        <v>32</v>
      </c>
      <c r="C124" s="12" t="s">
        <v>26</v>
      </c>
      <c r="D124" s="12" t="s">
        <v>7</v>
      </c>
      <c r="E124" s="12">
        <v>3</v>
      </c>
      <c r="F124" s="12">
        <v>31306</v>
      </c>
      <c r="G124" s="12">
        <f t="shared" si="1"/>
        <v>93918</v>
      </c>
      <c r="H124" s="13">
        <v>46189</v>
      </c>
      <c r="I124" s="12" t="s">
        <v>35</v>
      </c>
      <c r="J124" s="12" t="s">
        <v>8</v>
      </c>
      <c r="K124" s="12">
        <v>3.4</v>
      </c>
    </row>
    <row r="125" spans="1:11">
      <c r="A125" s="12" t="s">
        <v>239</v>
      </c>
      <c r="B125" s="12" t="s">
        <v>39</v>
      </c>
      <c r="C125" s="12" t="s">
        <v>13</v>
      </c>
      <c r="D125" s="12" t="s">
        <v>14</v>
      </c>
      <c r="E125" s="12">
        <v>2</v>
      </c>
      <c r="F125" s="12">
        <v>27497</v>
      </c>
      <c r="G125" s="12">
        <f t="shared" si="1"/>
        <v>54994</v>
      </c>
      <c r="H125" s="13">
        <v>46073</v>
      </c>
      <c r="I125" s="12" t="s">
        <v>46</v>
      </c>
      <c r="J125" s="12" t="s">
        <v>30</v>
      </c>
      <c r="K125" s="12">
        <v>4.5999999999999996</v>
      </c>
    </row>
    <row r="126" spans="1:11">
      <c r="A126" s="12" t="s">
        <v>240</v>
      </c>
      <c r="B126" s="12" t="s">
        <v>167</v>
      </c>
      <c r="C126" s="12" t="s">
        <v>52</v>
      </c>
      <c r="D126" s="12" t="s">
        <v>11</v>
      </c>
      <c r="E126" s="12">
        <v>5</v>
      </c>
      <c r="F126" s="12">
        <v>6932</v>
      </c>
      <c r="G126" s="12">
        <f t="shared" si="1"/>
        <v>34660</v>
      </c>
      <c r="H126" s="13">
        <v>46040</v>
      </c>
      <c r="I126" s="12" t="s">
        <v>35</v>
      </c>
      <c r="J126" s="12" t="s">
        <v>65</v>
      </c>
      <c r="K126" s="12">
        <v>4.4000000000000004</v>
      </c>
    </row>
    <row r="127" spans="1:11">
      <c r="A127" s="12" t="s">
        <v>241</v>
      </c>
      <c r="B127" s="12" t="s">
        <v>98</v>
      </c>
      <c r="C127" s="12" t="s">
        <v>55</v>
      </c>
      <c r="D127" s="12" t="s">
        <v>56</v>
      </c>
      <c r="E127" s="12">
        <v>4</v>
      </c>
      <c r="F127" s="12">
        <v>8703</v>
      </c>
      <c r="G127" s="12">
        <f t="shared" si="1"/>
        <v>34812</v>
      </c>
      <c r="H127" s="13">
        <v>46190</v>
      </c>
      <c r="I127" s="12" t="s">
        <v>35</v>
      </c>
      <c r="J127" s="12" t="s">
        <v>65</v>
      </c>
      <c r="K127" s="12">
        <v>4.4000000000000004</v>
      </c>
    </row>
    <row r="128" spans="1:11">
      <c r="A128" s="12" t="s">
        <v>242</v>
      </c>
      <c r="B128" s="12" t="s">
        <v>126</v>
      </c>
      <c r="C128" s="12" t="s">
        <v>12</v>
      </c>
      <c r="D128" s="12" t="s">
        <v>7</v>
      </c>
      <c r="E128" s="12">
        <v>2</v>
      </c>
      <c r="F128" s="12">
        <v>11062</v>
      </c>
      <c r="G128" s="12">
        <f t="shared" si="1"/>
        <v>22124</v>
      </c>
      <c r="H128" s="13">
        <v>46089</v>
      </c>
      <c r="I128" s="12" t="s">
        <v>46</v>
      </c>
      <c r="J128" s="12" t="s">
        <v>30</v>
      </c>
      <c r="K128" s="12">
        <v>3.2</v>
      </c>
    </row>
    <row r="129" spans="1:11">
      <c r="A129" s="12" t="s">
        <v>243</v>
      </c>
      <c r="B129" s="12" t="s">
        <v>132</v>
      </c>
      <c r="C129" s="12" t="s">
        <v>26</v>
      </c>
      <c r="D129" s="12" t="s">
        <v>7</v>
      </c>
      <c r="E129" s="12">
        <v>4</v>
      </c>
      <c r="F129" s="12">
        <v>22139</v>
      </c>
      <c r="G129" s="12">
        <f t="shared" si="1"/>
        <v>88556</v>
      </c>
      <c r="H129" s="13">
        <v>46077</v>
      </c>
      <c r="I129" s="12" t="s">
        <v>64</v>
      </c>
      <c r="J129" s="12" t="s">
        <v>43</v>
      </c>
      <c r="K129" s="12">
        <v>3.3</v>
      </c>
    </row>
    <row r="130" spans="1:11">
      <c r="A130" s="12" t="s">
        <v>244</v>
      </c>
      <c r="B130" s="12" t="s">
        <v>71</v>
      </c>
      <c r="C130" s="12" t="s">
        <v>16</v>
      </c>
      <c r="D130" s="12" t="s">
        <v>14</v>
      </c>
      <c r="E130" s="12">
        <v>1</v>
      </c>
      <c r="F130" s="12">
        <v>33490</v>
      </c>
      <c r="G130" s="12">
        <f t="shared" si="1"/>
        <v>33490</v>
      </c>
      <c r="H130" s="13">
        <v>46126</v>
      </c>
      <c r="I130" s="12" t="s">
        <v>74</v>
      </c>
      <c r="J130" s="12" t="s">
        <v>40</v>
      </c>
      <c r="K130" s="12">
        <v>4.3</v>
      </c>
    </row>
    <row r="131" spans="1:11">
      <c r="A131" s="12" t="s">
        <v>245</v>
      </c>
      <c r="B131" s="12" t="s">
        <v>150</v>
      </c>
      <c r="C131" s="12" t="s">
        <v>79</v>
      </c>
      <c r="D131" s="12" t="s">
        <v>80</v>
      </c>
      <c r="E131" s="12">
        <v>2</v>
      </c>
      <c r="F131" s="12">
        <v>17751</v>
      </c>
      <c r="G131" s="12">
        <f t="shared" ref="G131:G194" si="2">SUM(F131*E131)</f>
        <v>35502</v>
      </c>
      <c r="H131" s="13">
        <v>46074</v>
      </c>
      <c r="I131" s="12" t="s">
        <v>64</v>
      </c>
      <c r="J131" s="12" t="s">
        <v>8</v>
      </c>
      <c r="K131" s="12">
        <v>4.5</v>
      </c>
    </row>
    <row r="132" spans="1:11">
      <c r="A132" s="12" t="s">
        <v>246</v>
      </c>
      <c r="B132" s="12" t="s">
        <v>173</v>
      </c>
      <c r="C132" s="12" t="s">
        <v>79</v>
      </c>
      <c r="D132" s="12" t="s">
        <v>80</v>
      </c>
      <c r="E132" s="12">
        <v>2</v>
      </c>
      <c r="F132" s="12">
        <v>25309</v>
      </c>
      <c r="G132" s="12">
        <f t="shared" si="2"/>
        <v>50618</v>
      </c>
      <c r="H132" s="13">
        <v>46086</v>
      </c>
      <c r="I132" s="12" t="s">
        <v>35</v>
      </c>
      <c r="J132" s="12" t="s">
        <v>30</v>
      </c>
      <c r="K132" s="12">
        <v>4.5999999999999996</v>
      </c>
    </row>
    <row r="133" spans="1:11">
      <c r="A133" s="12" t="s">
        <v>247</v>
      </c>
      <c r="B133" s="12" t="s">
        <v>248</v>
      </c>
      <c r="C133" s="12" t="s">
        <v>79</v>
      </c>
      <c r="D133" s="12" t="s">
        <v>80</v>
      </c>
      <c r="E133" s="12">
        <v>3</v>
      </c>
      <c r="F133" s="12">
        <v>35889</v>
      </c>
      <c r="G133" s="12">
        <f t="shared" si="2"/>
        <v>107667</v>
      </c>
      <c r="H133" s="13">
        <v>46168</v>
      </c>
      <c r="I133" s="12" t="s">
        <v>49</v>
      </c>
      <c r="J133" s="12" t="s">
        <v>65</v>
      </c>
      <c r="K133" s="12">
        <v>4.4000000000000004</v>
      </c>
    </row>
    <row r="134" spans="1:11">
      <c r="A134" s="12" t="s">
        <v>249</v>
      </c>
      <c r="B134" s="12" t="s">
        <v>157</v>
      </c>
      <c r="C134" s="12" t="s">
        <v>79</v>
      </c>
      <c r="D134" s="12" t="s">
        <v>80</v>
      </c>
      <c r="E134" s="12">
        <v>2</v>
      </c>
      <c r="F134" s="12">
        <v>1518</v>
      </c>
      <c r="G134" s="12">
        <f t="shared" si="2"/>
        <v>3036</v>
      </c>
      <c r="H134" s="13">
        <v>46094</v>
      </c>
      <c r="I134" s="12" t="s">
        <v>49</v>
      </c>
      <c r="J134" s="12" t="s">
        <v>8</v>
      </c>
      <c r="K134" s="12">
        <v>4.8</v>
      </c>
    </row>
    <row r="135" spans="1:11">
      <c r="A135" s="12" t="s">
        <v>250</v>
      </c>
      <c r="B135" s="12" t="s">
        <v>159</v>
      </c>
      <c r="C135" s="12" t="s">
        <v>105</v>
      </c>
      <c r="D135" s="12" t="s">
        <v>106</v>
      </c>
      <c r="E135" s="12">
        <v>3</v>
      </c>
      <c r="F135" s="12">
        <v>6705</v>
      </c>
      <c r="G135" s="12">
        <f t="shared" si="2"/>
        <v>20115</v>
      </c>
      <c r="H135" s="13">
        <v>46178</v>
      </c>
      <c r="I135" s="12" t="s">
        <v>46</v>
      </c>
      <c r="J135" s="12" t="s">
        <v>65</v>
      </c>
      <c r="K135" s="12">
        <v>3.4</v>
      </c>
    </row>
    <row r="136" spans="1:11">
      <c r="A136" s="12" t="s">
        <v>251</v>
      </c>
      <c r="B136" s="12" t="s">
        <v>223</v>
      </c>
      <c r="C136" s="12" t="s">
        <v>26</v>
      </c>
      <c r="D136" s="12" t="s">
        <v>7</v>
      </c>
      <c r="E136" s="12">
        <v>1</v>
      </c>
      <c r="F136" s="12">
        <v>32012</v>
      </c>
      <c r="G136" s="12">
        <f t="shared" si="2"/>
        <v>32012</v>
      </c>
      <c r="H136" s="13">
        <v>46044</v>
      </c>
      <c r="I136" s="12" t="s">
        <v>64</v>
      </c>
      <c r="J136" s="12" t="s">
        <v>30</v>
      </c>
      <c r="K136" s="12">
        <v>5</v>
      </c>
    </row>
    <row r="137" spans="1:11">
      <c r="A137" s="12" t="s">
        <v>252</v>
      </c>
      <c r="B137" s="12" t="s">
        <v>184</v>
      </c>
      <c r="C137" s="12" t="s">
        <v>12</v>
      </c>
      <c r="D137" s="12" t="s">
        <v>7</v>
      </c>
      <c r="E137" s="12">
        <v>5</v>
      </c>
      <c r="F137" s="12">
        <v>42348</v>
      </c>
      <c r="G137" s="12">
        <f t="shared" si="2"/>
        <v>211740</v>
      </c>
      <c r="H137" s="13">
        <v>46113</v>
      </c>
      <c r="I137" s="12" t="s">
        <v>49</v>
      </c>
      <c r="J137" s="12" t="s">
        <v>43</v>
      </c>
      <c r="K137" s="12">
        <v>3.6</v>
      </c>
    </row>
    <row r="138" spans="1:11">
      <c r="A138" s="12" t="s">
        <v>253</v>
      </c>
      <c r="B138" s="12" t="s">
        <v>193</v>
      </c>
      <c r="C138" s="12" t="s">
        <v>10</v>
      </c>
      <c r="D138" s="12" t="s">
        <v>11</v>
      </c>
      <c r="E138" s="12">
        <v>5</v>
      </c>
      <c r="F138" s="12">
        <v>11626</v>
      </c>
      <c r="G138" s="12">
        <f t="shared" si="2"/>
        <v>58130</v>
      </c>
      <c r="H138" s="13">
        <v>46096</v>
      </c>
      <c r="I138" s="12" t="s">
        <v>46</v>
      </c>
      <c r="J138" s="12" t="s">
        <v>43</v>
      </c>
      <c r="K138" s="12">
        <v>5</v>
      </c>
    </row>
    <row r="139" spans="1:11">
      <c r="A139" s="12" t="s">
        <v>254</v>
      </c>
      <c r="B139" s="12" t="s">
        <v>100</v>
      </c>
      <c r="C139" s="12" t="s">
        <v>6</v>
      </c>
      <c r="D139" s="12" t="s">
        <v>7</v>
      </c>
      <c r="E139" s="12">
        <v>5</v>
      </c>
      <c r="F139" s="12">
        <v>47452</v>
      </c>
      <c r="G139" s="12">
        <f t="shared" si="2"/>
        <v>237260</v>
      </c>
      <c r="H139" s="13">
        <v>46027</v>
      </c>
      <c r="I139" s="12" t="s">
        <v>74</v>
      </c>
      <c r="J139" s="12" t="s">
        <v>40</v>
      </c>
      <c r="K139" s="12">
        <v>3.9</v>
      </c>
    </row>
    <row r="140" spans="1:11">
      <c r="A140" s="12" t="s">
        <v>255</v>
      </c>
      <c r="B140" s="12" t="s">
        <v>39</v>
      </c>
      <c r="C140" s="12" t="s">
        <v>15</v>
      </c>
      <c r="D140" s="12" t="s">
        <v>7</v>
      </c>
      <c r="E140" s="12">
        <v>1</v>
      </c>
      <c r="F140" s="12">
        <v>27899</v>
      </c>
      <c r="G140" s="12">
        <f t="shared" si="2"/>
        <v>27899</v>
      </c>
      <c r="H140" s="13">
        <v>46123</v>
      </c>
      <c r="I140" s="12" t="s">
        <v>27</v>
      </c>
      <c r="J140" s="12" t="s">
        <v>40</v>
      </c>
      <c r="K140" s="12">
        <v>4.5</v>
      </c>
    </row>
    <row r="141" spans="1:11">
      <c r="A141" s="12" t="s">
        <v>256</v>
      </c>
      <c r="B141" s="12" t="s">
        <v>257</v>
      </c>
      <c r="C141" s="12" t="s">
        <v>16</v>
      </c>
      <c r="D141" s="12" t="s">
        <v>14</v>
      </c>
      <c r="E141" s="12">
        <v>2</v>
      </c>
      <c r="F141" s="12">
        <v>4810</v>
      </c>
      <c r="G141" s="12">
        <f t="shared" si="2"/>
        <v>9620</v>
      </c>
      <c r="H141" s="13">
        <v>46048</v>
      </c>
      <c r="I141" s="12" t="s">
        <v>64</v>
      </c>
      <c r="J141" s="12" t="s">
        <v>65</v>
      </c>
      <c r="K141" s="12">
        <v>3.5</v>
      </c>
    </row>
    <row r="142" spans="1:11">
      <c r="A142" s="12" t="s">
        <v>258</v>
      </c>
      <c r="B142" s="12" t="s">
        <v>84</v>
      </c>
      <c r="C142" s="12" t="s">
        <v>79</v>
      </c>
      <c r="D142" s="12" t="s">
        <v>80</v>
      </c>
      <c r="E142" s="12">
        <v>5</v>
      </c>
      <c r="F142" s="12">
        <v>35459</v>
      </c>
      <c r="G142" s="12">
        <f t="shared" si="2"/>
        <v>177295</v>
      </c>
      <c r="H142" s="13">
        <v>46148</v>
      </c>
      <c r="I142" s="12" t="s">
        <v>46</v>
      </c>
      <c r="J142" s="12" t="s">
        <v>8</v>
      </c>
      <c r="K142" s="12">
        <v>4</v>
      </c>
    </row>
    <row r="143" spans="1:11">
      <c r="A143" s="12" t="s">
        <v>259</v>
      </c>
      <c r="B143" s="12" t="s">
        <v>210</v>
      </c>
      <c r="C143" s="12" t="s">
        <v>15</v>
      </c>
      <c r="D143" s="12" t="s">
        <v>7</v>
      </c>
      <c r="E143" s="12">
        <v>5</v>
      </c>
      <c r="F143" s="12">
        <v>24947</v>
      </c>
      <c r="G143" s="12">
        <f t="shared" si="2"/>
        <v>124735</v>
      </c>
      <c r="H143" s="13">
        <v>46055</v>
      </c>
      <c r="I143" s="12" t="s">
        <v>74</v>
      </c>
      <c r="J143" s="12" t="s">
        <v>65</v>
      </c>
      <c r="K143" s="12">
        <v>3.3</v>
      </c>
    </row>
    <row r="144" spans="1:11">
      <c r="A144" s="12" t="s">
        <v>260</v>
      </c>
      <c r="B144" s="12" t="s">
        <v>261</v>
      </c>
      <c r="C144" s="12" t="s">
        <v>52</v>
      </c>
      <c r="D144" s="12" t="s">
        <v>11</v>
      </c>
      <c r="E144" s="12">
        <v>4</v>
      </c>
      <c r="F144" s="12">
        <v>12790</v>
      </c>
      <c r="G144" s="12">
        <f t="shared" si="2"/>
        <v>51160</v>
      </c>
      <c r="H144" s="13">
        <v>46072</v>
      </c>
      <c r="I144" s="12" t="s">
        <v>46</v>
      </c>
      <c r="J144" s="12" t="s">
        <v>40</v>
      </c>
      <c r="K144" s="12">
        <v>4.4000000000000004</v>
      </c>
    </row>
    <row r="145" spans="1:11">
      <c r="A145" s="12" t="s">
        <v>262</v>
      </c>
      <c r="B145" s="12" t="s">
        <v>32</v>
      </c>
      <c r="C145" s="12" t="s">
        <v>52</v>
      </c>
      <c r="D145" s="12" t="s">
        <v>11</v>
      </c>
      <c r="E145" s="12">
        <v>3</v>
      </c>
      <c r="F145" s="12">
        <v>32850</v>
      </c>
      <c r="G145" s="12">
        <f t="shared" si="2"/>
        <v>98550</v>
      </c>
      <c r="H145" s="13">
        <v>46163</v>
      </c>
      <c r="I145" s="12" t="s">
        <v>49</v>
      </c>
      <c r="J145" s="12" t="s">
        <v>30</v>
      </c>
      <c r="K145" s="12">
        <v>3.4</v>
      </c>
    </row>
    <row r="146" spans="1:11">
      <c r="A146" s="12" t="s">
        <v>263</v>
      </c>
      <c r="B146" s="12" t="s">
        <v>264</v>
      </c>
      <c r="C146" s="12" t="s">
        <v>10</v>
      </c>
      <c r="D146" s="12" t="s">
        <v>11</v>
      </c>
      <c r="E146" s="12">
        <v>5</v>
      </c>
      <c r="F146" s="12">
        <v>45465</v>
      </c>
      <c r="G146" s="12">
        <f t="shared" si="2"/>
        <v>227325</v>
      </c>
      <c r="H146" s="13">
        <v>46042</v>
      </c>
      <c r="I146" s="12" t="s">
        <v>64</v>
      </c>
      <c r="J146" s="12" t="s">
        <v>40</v>
      </c>
      <c r="K146" s="12">
        <v>3.9</v>
      </c>
    </row>
    <row r="147" spans="1:11">
      <c r="A147" s="12" t="s">
        <v>265</v>
      </c>
      <c r="B147" s="12" t="s">
        <v>237</v>
      </c>
      <c r="C147" s="12" t="s">
        <v>10</v>
      </c>
      <c r="D147" s="12" t="s">
        <v>11</v>
      </c>
      <c r="E147" s="12">
        <v>1</v>
      </c>
      <c r="F147" s="12">
        <v>3693</v>
      </c>
      <c r="G147" s="12">
        <f t="shared" si="2"/>
        <v>3693</v>
      </c>
      <c r="H147" s="13">
        <v>46085</v>
      </c>
      <c r="I147" s="12" t="s">
        <v>9</v>
      </c>
      <c r="J147" s="12" t="s">
        <v>8</v>
      </c>
      <c r="K147" s="12">
        <v>4.5</v>
      </c>
    </row>
    <row r="148" spans="1:11">
      <c r="A148" s="12" t="s">
        <v>266</v>
      </c>
      <c r="B148" s="12" t="s">
        <v>267</v>
      </c>
      <c r="C148" s="12" t="s">
        <v>105</v>
      </c>
      <c r="D148" s="12" t="s">
        <v>106</v>
      </c>
      <c r="E148" s="12">
        <v>3</v>
      </c>
      <c r="F148" s="12">
        <v>25476</v>
      </c>
      <c r="G148" s="12">
        <f t="shared" si="2"/>
        <v>76428</v>
      </c>
      <c r="H148" s="13">
        <v>46069</v>
      </c>
      <c r="I148" s="12" t="s">
        <v>9</v>
      </c>
      <c r="J148" s="12" t="s">
        <v>8</v>
      </c>
      <c r="K148" s="12">
        <v>3.4</v>
      </c>
    </row>
    <row r="149" spans="1:11">
      <c r="A149" s="12" t="s">
        <v>268</v>
      </c>
      <c r="B149" s="12" t="s">
        <v>42</v>
      </c>
      <c r="C149" s="12" t="s">
        <v>16</v>
      </c>
      <c r="D149" s="12" t="s">
        <v>14</v>
      </c>
      <c r="E149" s="12">
        <v>3</v>
      </c>
      <c r="F149" s="12">
        <v>26710</v>
      </c>
      <c r="G149" s="12">
        <f t="shared" si="2"/>
        <v>80130</v>
      </c>
      <c r="H149" s="13">
        <v>46124</v>
      </c>
      <c r="I149" s="12" t="s">
        <v>74</v>
      </c>
      <c r="J149" s="12" t="s">
        <v>43</v>
      </c>
      <c r="K149" s="12">
        <v>3.1</v>
      </c>
    </row>
    <row r="150" spans="1:11">
      <c r="A150" s="12" t="s">
        <v>269</v>
      </c>
      <c r="B150" s="12" t="s">
        <v>170</v>
      </c>
      <c r="C150" s="12" t="s">
        <v>16</v>
      </c>
      <c r="D150" s="12" t="s">
        <v>14</v>
      </c>
      <c r="E150" s="12">
        <v>1</v>
      </c>
      <c r="F150" s="12">
        <v>10366</v>
      </c>
      <c r="G150" s="12">
        <f t="shared" si="2"/>
        <v>10366</v>
      </c>
      <c r="H150" s="13">
        <v>46113</v>
      </c>
      <c r="I150" s="12" t="s">
        <v>64</v>
      </c>
      <c r="J150" s="12" t="s">
        <v>30</v>
      </c>
      <c r="K150" s="12">
        <v>4.5999999999999996</v>
      </c>
    </row>
    <row r="151" spans="1:11">
      <c r="A151" s="12" t="s">
        <v>270</v>
      </c>
      <c r="B151" s="12" t="s">
        <v>45</v>
      </c>
      <c r="C151" s="12" t="s">
        <v>55</v>
      </c>
      <c r="D151" s="12" t="s">
        <v>56</v>
      </c>
      <c r="E151" s="12">
        <v>5</v>
      </c>
      <c r="F151" s="12">
        <v>12842</v>
      </c>
      <c r="G151" s="12">
        <f t="shared" si="2"/>
        <v>64210</v>
      </c>
      <c r="H151" s="13">
        <v>46155</v>
      </c>
      <c r="I151" s="12" t="s">
        <v>64</v>
      </c>
      <c r="J151" s="12" t="s">
        <v>8</v>
      </c>
      <c r="K151" s="12">
        <v>3.8</v>
      </c>
    </row>
    <row r="152" spans="1:11">
      <c r="A152" s="12" t="s">
        <v>271</v>
      </c>
      <c r="B152" s="12" t="s">
        <v>91</v>
      </c>
      <c r="C152" s="12" t="s">
        <v>52</v>
      </c>
      <c r="D152" s="12" t="s">
        <v>11</v>
      </c>
      <c r="E152" s="12">
        <v>5</v>
      </c>
      <c r="F152" s="12">
        <v>28267</v>
      </c>
      <c r="G152" s="12">
        <f t="shared" si="2"/>
        <v>141335</v>
      </c>
      <c r="H152" s="13">
        <v>46023</v>
      </c>
      <c r="I152" s="12" t="s">
        <v>27</v>
      </c>
      <c r="J152" s="12" t="s">
        <v>65</v>
      </c>
      <c r="K152" s="12">
        <v>4.8</v>
      </c>
    </row>
    <row r="153" spans="1:11">
      <c r="A153" s="12" t="s">
        <v>272</v>
      </c>
      <c r="B153" s="12" t="s">
        <v>273</v>
      </c>
      <c r="C153" s="12" t="s">
        <v>13</v>
      </c>
      <c r="D153" s="12" t="s">
        <v>14</v>
      </c>
      <c r="E153" s="12">
        <v>5</v>
      </c>
      <c r="F153" s="12">
        <v>37424</v>
      </c>
      <c r="G153" s="12">
        <f t="shared" si="2"/>
        <v>187120</v>
      </c>
      <c r="H153" s="13">
        <v>46144</v>
      </c>
      <c r="I153" s="12" t="s">
        <v>9</v>
      </c>
      <c r="J153" s="12" t="s">
        <v>30</v>
      </c>
      <c r="K153" s="12">
        <v>4.0999999999999996</v>
      </c>
    </row>
    <row r="154" spans="1:11">
      <c r="A154" s="12" t="s">
        <v>274</v>
      </c>
      <c r="B154" s="12" t="s">
        <v>67</v>
      </c>
      <c r="C154" s="12" t="s">
        <v>16</v>
      </c>
      <c r="D154" s="12" t="s">
        <v>14</v>
      </c>
      <c r="E154" s="12">
        <v>4</v>
      </c>
      <c r="F154" s="12">
        <v>30382</v>
      </c>
      <c r="G154" s="12">
        <f t="shared" si="2"/>
        <v>121528</v>
      </c>
      <c r="H154" s="13">
        <v>46148</v>
      </c>
      <c r="I154" s="12" t="s">
        <v>9</v>
      </c>
      <c r="J154" s="12" t="s">
        <v>8</v>
      </c>
      <c r="K154" s="12">
        <v>3.1</v>
      </c>
    </row>
    <row r="155" spans="1:11">
      <c r="A155" s="12" t="s">
        <v>275</v>
      </c>
      <c r="B155" s="12" t="s">
        <v>84</v>
      </c>
      <c r="C155" s="12" t="s">
        <v>10</v>
      </c>
      <c r="D155" s="12" t="s">
        <v>11</v>
      </c>
      <c r="E155" s="12">
        <v>1</v>
      </c>
      <c r="F155" s="12">
        <v>11357</v>
      </c>
      <c r="G155" s="12">
        <f t="shared" si="2"/>
        <v>11357</v>
      </c>
      <c r="H155" s="13">
        <v>46031</v>
      </c>
      <c r="I155" s="12" t="s">
        <v>27</v>
      </c>
      <c r="J155" s="12" t="s">
        <v>43</v>
      </c>
      <c r="K155" s="12">
        <v>4.9000000000000004</v>
      </c>
    </row>
    <row r="156" spans="1:11">
      <c r="A156" s="12" t="s">
        <v>276</v>
      </c>
      <c r="B156" s="12" t="s">
        <v>219</v>
      </c>
      <c r="C156" s="12" t="s">
        <v>55</v>
      </c>
      <c r="D156" s="12" t="s">
        <v>56</v>
      </c>
      <c r="E156" s="12">
        <v>5</v>
      </c>
      <c r="F156" s="12">
        <v>44894</v>
      </c>
      <c r="G156" s="12">
        <f t="shared" si="2"/>
        <v>224470</v>
      </c>
      <c r="H156" s="13">
        <v>46052</v>
      </c>
      <c r="I156" s="12" t="s">
        <v>9</v>
      </c>
      <c r="J156" s="12" t="s">
        <v>43</v>
      </c>
      <c r="K156" s="12">
        <v>3.2</v>
      </c>
    </row>
    <row r="157" spans="1:11">
      <c r="A157" s="12" t="s">
        <v>277</v>
      </c>
      <c r="B157" s="12" t="s">
        <v>71</v>
      </c>
      <c r="C157" s="12" t="s">
        <v>10</v>
      </c>
      <c r="D157" s="12" t="s">
        <v>11</v>
      </c>
      <c r="E157" s="12">
        <v>4</v>
      </c>
      <c r="F157" s="12">
        <v>23378</v>
      </c>
      <c r="G157" s="12">
        <f t="shared" si="2"/>
        <v>93512</v>
      </c>
      <c r="H157" s="13">
        <v>46143</v>
      </c>
      <c r="I157" s="12" t="s">
        <v>35</v>
      </c>
      <c r="J157" s="12" t="s">
        <v>30</v>
      </c>
      <c r="K157" s="12">
        <v>3.4</v>
      </c>
    </row>
    <row r="158" spans="1:11">
      <c r="A158" s="12" t="s">
        <v>278</v>
      </c>
      <c r="B158" s="12" t="s">
        <v>213</v>
      </c>
      <c r="C158" s="12" t="s">
        <v>13</v>
      </c>
      <c r="D158" s="12" t="s">
        <v>14</v>
      </c>
      <c r="E158" s="12">
        <v>3</v>
      </c>
      <c r="F158" s="12">
        <v>21470</v>
      </c>
      <c r="G158" s="12">
        <f t="shared" si="2"/>
        <v>64410</v>
      </c>
      <c r="H158" s="13">
        <v>46110</v>
      </c>
      <c r="I158" s="12" t="s">
        <v>74</v>
      </c>
      <c r="J158" s="12" t="s">
        <v>40</v>
      </c>
      <c r="K158" s="12">
        <v>3.4</v>
      </c>
    </row>
    <row r="159" spans="1:11">
      <c r="A159" s="12" t="s">
        <v>279</v>
      </c>
      <c r="B159" s="12" t="s">
        <v>210</v>
      </c>
      <c r="C159" s="12" t="s">
        <v>6</v>
      </c>
      <c r="D159" s="12" t="s">
        <v>7</v>
      </c>
      <c r="E159" s="12">
        <v>1</v>
      </c>
      <c r="F159" s="12">
        <v>38690</v>
      </c>
      <c r="G159" s="12">
        <f t="shared" si="2"/>
        <v>38690</v>
      </c>
      <c r="H159" s="13">
        <v>46134</v>
      </c>
      <c r="I159" s="12" t="s">
        <v>46</v>
      </c>
      <c r="J159" s="12" t="s">
        <v>8</v>
      </c>
      <c r="K159" s="12">
        <v>3.6</v>
      </c>
    </row>
    <row r="160" spans="1:11">
      <c r="A160" s="12" t="s">
        <v>280</v>
      </c>
      <c r="B160" s="12" t="s">
        <v>104</v>
      </c>
      <c r="C160" s="12" t="s">
        <v>59</v>
      </c>
      <c r="D160" s="12" t="s">
        <v>7</v>
      </c>
      <c r="E160" s="12">
        <v>3</v>
      </c>
      <c r="F160" s="12">
        <v>35794</v>
      </c>
      <c r="G160" s="12">
        <f t="shared" si="2"/>
        <v>107382</v>
      </c>
      <c r="H160" s="13">
        <v>46045</v>
      </c>
      <c r="I160" s="12" t="s">
        <v>35</v>
      </c>
      <c r="J160" s="12" t="s">
        <v>30</v>
      </c>
      <c r="K160" s="12">
        <v>4.4000000000000004</v>
      </c>
    </row>
    <row r="161" spans="1:11">
      <c r="A161" s="12" t="s">
        <v>281</v>
      </c>
      <c r="B161" s="12" t="s">
        <v>210</v>
      </c>
      <c r="C161" s="12" t="s">
        <v>26</v>
      </c>
      <c r="D161" s="12" t="s">
        <v>7</v>
      </c>
      <c r="E161" s="12">
        <v>4</v>
      </c>
      <c r="F161" s="12">
        <v>2214</v>
      </c>
      <c r="G161" s="12">
        <f t="shared" si="2"/>
        <v>8856</v>
      </c>
      <c r="H161" s="13">
        <v>46141</v>
      </c>
      <c r="I161" s="12" t="s">
        <v>9</v>
      </c>
      <c r="J161" s="12" t="s">
        <v>43</v>
      </c>
      <c r="K161" s="12">
        <v>3.2</v>
      </c>
    </row>
    <row r="162" spans="1:11">
      <c r="A162" s="12" t="s">
        <v>282</v>
      </c>
      <c r="B162" s="12" t="s">
        <v>283</v>
      </c>
      <c r="C162" s="12" t="s">
        <v>79</v>
      </c>
      <c r="D162" s="12" t="s">
        <v>80</v>
      </c>
      <c r="E162" s="12">
        <v>1</v>
      </c>
      <c r="F162" s="12">
        <v>11817</v>
      </c>
      <c r="G162" s="12">
        <f t="shared" si="2"/>
        <v>11817</v>
      </c>
      <c r="H162" s="13">
        <v>46099</v>
      </c>
      <c r="I162" s="12" t="s">
        <v>27</v>
      </c>
      <c r="J162" s="12" t="s">
        <v>43</v>
      </c>
      <c r="K162" s="12">
        <v>3.2</v>
      </c>
    </row>
    <row r="163" spans="1:11">
      <c r="A163" s="12" t="s">
        <v>284</v>
      </c>
      <c r="B163" s="12" t="s">
        <v>285</v>
      </c>
      <c r="C163" s="12" t="s">
        <v>13</v>
      </c>
      <c r="D163" s="12" t="s">
        <v>14</v>
      </c>
      <c r="E163" s="12">
        <v>1</v>
      </c>
      <c r="F163" s="12">
        <v>5848</v>
      </c>
      <c r="G163" s="12">
        <f t="shared" si="2"/>
        <v>5848</v>
      </c>
      <c r="H163" s="13">
        <v>46064</v>
      </c>
      <c r="I163" s="12" t="s">
        <v>27</v>
      </c>
      <c r="J163" s="12" t="s">
        <v>40</v>
      </c>
      <c r="K163" s="12">
        <v>4</v>
      </c>
    </row>
    <row r="164" spans="1:11">
      <c r="A164" s="12" t="s">
        <v>286</v>
      </c>
      <c r="B164" s="12" t="s">
        <v>167</v>
      </c>
      <c r="C164" s="12" t="s">
        <v>26</v>
      </c>
      <c r="D164" s="12" t="s">
        <v>7</v>
      </c>
      <c r="E164" s="12">
        <v>1</v>
      </c>
      <c r="F164" s="12">
        <v>44117</v>
      </c>
      <c r="G164" s="12">
        <f t="shared" si="2"/>
        <v>44117</v>
      </c>
      <c r="H164" s="13">
        <v>46170</v>
      </c>
      <c r="I164" s="12" t="s">
        <v>9</v>
      </c>
      <c r="J164" s="12" t="s">
        <v>40</v>
      </c>
      <c r="K164" s="12">
        <v>3</v>
      </c>
    </row>
    <row r="165" spans="1:11">
      <c r="A165" s="12" t="s">
        <v>287</v>
      </c>
      <c r="B165" s="12" t="s">
        <v>114</v>
      </c>
      <c r="C165" s="12" t="s">
        <v>6</v>
      </c>
      <c r="D165" s="12" t="s">
        <v>7</v>
      </c>
      <c r="E165" s="12">
        <v>2</v>
      </c>
      <c r="F165" s="12">
        <v>6367</v>
      </c>
      <c r="G165" s="12">
        <f t="shared" si="2"/>
        <v>12734</v>
      </c>
      <c r="H165" s="13">
        <v>46062</v>
      </c>
      <c r="I165" s="12" t="s">
        <v>64</v>
      </c>
      <c r="J165" s="12" t="s">
        <v>30</v>
      </c>
      <c r="K165" s="12">
        <v>3.3</v>
      </c>
    </row>
    <row r="166" spans="1:11">
      <c r="A166" s="12" t="s">
        <v>288</v>
      </c>
      <c r="B166" s="12" t="s">
        <v>102</v>
      </c>
      <c r="C166" s="12" t="s">
        <v>105</v>
      </c>
      <c r="D166" s="12" t="s">
        <v>106</v>
      </c>
      <c r="E166" s="12">
        <v>5</v>
      </c>
      <c r="F166" s="12">
        <v>41666</v>
      </c>
      <c r="G166" s="12">
        <f t="shared" si="2"/>
        <v>208330</v>
      </c>
      <c r="H166" s="13">
        <v>46032</v>
      </c>
      <c r="I166" s="12" t="s">
        <v>9</v>
      </c>
      <c r="J166" s="12" t="s">
        <v>8</v>
      </c>
      <c r="K166" s="12">
        <v>4.7</v>
      </c>
    </row>
    <row r="167" spans="1:11">
      <c r="A167" s="12" t="s">
        <v>289</v>
      </c>
      <c r="B167" s="12" t="s">
        <v>290</v>
      </c>
      <c r="C167" s="12" t="s">
        <v>12</v>
      </c>
      <c r="D167" s="12" t="s">
        <v>7</v>
      </c>
      <c r="E167" s="12">
        <v>2</v>
      </c>
      <c r="F167" s="12">
        <v>29899</v>
      </c>
      <c r="G167" s="12">
        <f t="shared" si="2"/>
        <v>59798</v>
      </c>
      <c r="H167" s="13">
        <v>46025</v>
      </c>
      <c r="I167" s="12" t="s">
        <v>35</v>
      </c>
      <c r="J167" s="12" t="s">
        <v>65</v>
      </c>
      <c r="K167" s="12">
        <v>3.2</v>
      </c>
    </row>
    <row r="168" spans="1:11">
      <c r="A168" s="12" t="s">
        <v>291</v>
      </c>
      <c r="B168" s="12" t="s">
        <v>51</v>
      </c>
      <c r="C168" s="12" t="s">
        <v>59</v>
      </c>
      <c r="D168" s="12" t="s">
        <v>7</v>
      </c>
      <c r="E168" s="12">
        <v>2</v>
      </c>
      <c r="F168" s="12">
        <v>2785</v>
      </c>
      <c r="G168" s="12">
        <f t="shared" si="2"/>
        <v>5570</v>
      </c>
      <c r="H168" s="13">
        <v>46187</v>
      </c>
      <c r="I168" s="12" t="s">
        <v>74</v>
      </c>
      <c r="J168" s="12" t="s">
        <v>65</v>
      </c>
      <c r="K168" s="12">
        <v>3.8</v>
      </c>
    </row>
    <row r="169" spans="1:11">
      <c r="A169" s="12" t="s">
        <v>292</v>
      </c>
      <c r="B169" s="12" t="s">
        <v>293</v>
      </c>
      <c r="C169" s="12" t="s">
        <v>52</v>
      </c>
      <c r="D169" s="12" t="s">
        <v>11</v>
      </c>
      <c r="E169" s="12">
        <v>4</v>
      </c>
      <c r="F169" s="12">
        <v>42113</v>
      </c>
      <c r="G169" s="12">
        <f t="shared" si="2"/>
        <v>168452</v>
      </c>
      <c r="H169" s="13">
        <v>46102</v>
      </c>
      <c r="I169" s="12" t="s">
        <v>49</v>
      </c>
      <c r="J169" s="12" t="s">
        <v>40</v>
      </c>
      <c r="K169" s="12">
        <v>3.6</v>
      </c>
    </row>
    <row r="170" spans="1:11">
      <c r="A170" s="12" t="s">
        <v>294</v>
      </c>
      <c r="B170" s="12" t="s">
        <v>295</v>
      </c>
      <c r="C170" s="12" t="s">
        <v>26</v>
      </c>
      <c r="D170" s="12" t="s">
        <v>7</v>
      </c>
      <c r="E170" s="12">
        <v>4</v>
      </c>
      <c r="F170" s="12">
        <v>1740</v>
      </c>
      <c r="G170" s="12">
        <f t="shared" si="2"/>
        <v>6960</v>
      </c>
      <c r="H170" s="13">
        <v>46140</v>
      </c>
      <c r="I170" s="12" t="s">
        <v>9</v>
      </c>
      <c r="J170" s="12" t="s">
        <v>8</v>
      </c>
      <c r="K170" s="12">
        <v>4.5</v>
      </c>
    </row>
    <row r="171" spans="1:11">
      <c r="A171" s="12" t="s">
        <v>296</v>
      </c>
      <c r="B171" s="12" t="s">
        <v>261</v>
      </c>
      <c r="C171" s="12" t="s">
        <v>6</v>
      </c>
      <c r="D171" s="12" t="s">
        <v>7</v>
      </c>
      <c r="E171" s="12">
        <v>1</v>
      </c>
      <c r="F171" s="12">
        <v>41097</v>
      </c>
      <c r="G171" s="12">
        <f t="shared" si="2"/>
        <v>41097</v>
      </c>
      <c r="H171" s="13">
        <v>46039</v>
      </c>
      <c r="I171" s="12" t="s">
        <v>49</v>
      </c>
      <c r="J171" s="12" t="s">
        <v>65</v>
      </c>
      <c r="K171" s="12">
        <v>3.6</v>
      </c>
    </row>
    <row r="172" spans="1:11">
      <c r="A172" s="12" t="s">
        <v>297</v>
      </c>
      <c r="B172" s="12" t="s">
        <v>298</v>
      </c>
      <c r="C172" s="12" t="s">
        <v>59</v>
      </c>
      <c r="D172" s="12" t="s">
        <v>7</v>
      </c>
      <c r="E172" s="12">
        <v>1</v>
      </c>
      <c r="F172" s="12">
        <v>3170</v>
      </c>
      <c r="G172" s="12">
        <f t="shared" si="2"/>
        <v>3170</v>
      </c>
      <c r="H172" s="13">
        <v>46140</v>
      </c>
      <c r="I172" s="12" t="s">
        <v>64</v>
      </c>
      <c r="J172" s="12" t="s">
        <v>43</v>
      </c>
      <c r="K172" s="12">
        <v>3.4</v>
      </c>
    </row>
    <row r="173" spans="1:11">
      <c r="A173" s="12" t="s">
        <v>299</v>
      </c>
      <c r="B173" s="12" t="s">
        <v>300</v>
      </c>
      <c r="C173" s="12" t="s">
        <v>10</v>
      </c>
      <c r="D173" s="12" t="s">
        <v>11</v>
      </c>
      <c r="E173" s="12">
        <v>2</v>
      </c>
      <c r="F173" s="12">
        <v>48764</v>
      </c>
      <c r="G173" s="12">
        <f t="shared" si="2"/>
        <v>97528</v>
      </c>
      <c r="H173" s="13">
        <v>46060</v>
      </c>
      <c r="I173" s="12" t="s">
        <v>35</v>
      </c>
      <c r="J173" s="12" t="s">
        <v>30</v>
      </c>
      <c r="K173" s="12">
        <v>4.3</v>
      </c>
    </row>
    <row r="174" spans="1:11">
      <c r="A174" s="12" t="s">
        <v>301</v>
      </c>
      <c r="B174" s="12" t="s">
        <v>155</v>
      </c>
      <c r="C174" s="12" t="s">
        <v>59</v>
      </c>
      <c r="D174" s="12" t="s">
        <v>7</v>
      </c>
      <c r="E174" s="12">
        <v>4</v>
      </c>
      <c r="F174" s="12">
        <v>39735</v>
      </c>
      <c r="G174" s="12">
        <f t="shared" si="2"/>
        <v>158940</v>
      </c>
      <c r="H174" s="13">
        <v>46054</v>
      </c>
      <c r="I174" s="12" t="s">
        <v>27</v>
      </c>
      <c r="J174" s="12" t="s">
        <v>65</v>
      </c>
      <c r="K174" s="12">
        <v>4.3</v>
      </c>
    </row>
    <row r="175" spans="1:11">
      <c r="A175" s="12" t="s">
        <v>302</v>
      </c>
      <c r="B175" s="12" t="s">
        <v>137</v>
      </c>
      <c r="C175" s="12" t="s">
        <v>79</v>
      </c>
      <c r="D175" s="12" t="s">
        <v>80</v>
      </c>
      <c r="E175" s="12">
        <v>4</v>
      </c>
      <c r="F175" s="12">
        <v>16399</v>
      </c>
      <c r="G175" s="12">
        <f t="shared" si="2"/>
        <v>65596</v>
      </c>
      <c r="H175" s="13">
        <v>46175</v>
      </c>
      <c r="I175" s="12" t="s">
        <v>74</v>
      </c>
      <c r="J175" s="12" t="s">
        <v>8</v>
      </c>
      <c r="K175" s="12">
        <v>4.5</v>
      </c>
    </row>
    <row r="176" spans="1:11">
      <c r="A176" s="12" t="s">
        <v>303</v>
      </c>
      <c r="B176" s="12" t="s">
        <v>108</v>
      </c>
      <c r="C176" s="12" t="s">
        <v>79</v>
      </c>
      <c r="D176" s="12" t="s">
        <v>80</v>
      </c>
      <c r="E176" s="12">
        <v>3</v>
      </c>
      <c r="F176" s="12">
        <v>37990</v>
      </c>
      <c r="G176" s="12">
        <f t="shared" si="2"/>
        <v>113970</v>
      </c>
      <c r="H176" s="13">
        <v>46085</v>
      </c>
      <c r="I176" s="12" t="s">
        <v>64</v>
      </c>
      <c r="J176" s="12" t="s">
        <v>30</v>
      </c>
      <c r="K176" s="12">
        <v>4</v>
      </c>
    </row>
    <row r="177" spans="1:11">
      <c r="A177" s="12" t="s">
        <v>304</v>
      </c>
      <c r="B177" s="12" t="s">
        <v>305</v>
      </c>
      <c r="C177" s="12" t="s">
        <v>13</v>
      </c>
      <c r="D177" s="12" t="s">
        <v>14</v>
      </c>
      <c r="E177" s="12">
        <v>3</v>
      </c>
      <c r="F177" s="12">
        <v>20917</v>
      </c>
      <c r="G177" s="12">
        <f t="shared" si="2"/>
        <v>62751</v>
      </c>
      <c r="H177" s="13">
        <v>46112</v>
      </c>
      <c r="I177" s="12" t="s">
        <v>35</v>
      </c>
      <c r="J177" s="12" t="s">
        <v>40</v>
      </c>
      <c r="K177" s="12">
        <v>3.7</v>
      </c>
    </row>
    <row r="178" spans="1:11">
      <c r="A178" s="12" t="s">
        <v>306</v>
      </c>
      <c r="B178" s="12" t="s">
        <v>228</v>
      </c>
      <c r="C178" s="12" t="s">
        <v>12</v>
      </c>
      <c r="D178" s="12" t="s">
        <v>7</v>
      </c>
      <c r="E178" s="12">
        <v>4</v>
      </c>
      <c r="F178" s="12">
        <v>18775</v>
      </c>
      <c r="G178" s="12">
        <f t="shared" si="2"/>
        <v>75100</v>
      </c>
      <c r="H178" s="13">
        <v>46067</v>
      </c>
      <c r="I178" s="12" t="s">
        <v>49</v>
      </c>
      <c r="J178" s="12" t="s">
        <v>65</v>
      </c>
      <c r="K178" s="12">
        <v>4.5</v>
      </c>
    </row>
    <row r="179" spans="1:11">
      <c r="A179" s="12" t="s">
        <v>307</v>
      </c>
      <c r="B179" s="12" t="s">
        <v>219</v>
      </c>
      <c r="C179" s="12" t="s">
        <v>15</v>
      </c>
      <c r="D179" s="12" t="s">
        <v>7</v>
      </c>
      <c r="E179" s="12">
        <v>4</v>
      </c>
      <c r="F179" s="12">
        <v>38072</v>
      </c>
      <c r="G179" s="12">
        <f t="shared" si="2"/>
        <v>152288</v>
      </c>
      <c r="H179" s="13">
        <v>46170</v>
      </c>
      <c r="I179" s="12" t="s">
        <v>27</v>
      </c>
      <c r="J179" s="12" t="s">
        <v>30</v>
      </c>
      <c r="K179" s="12">
        <v>3.9</v>
      </c>
    </row>
    <row r="180" spans="1:11">
      <c r="A180" s="12" t="s">
        <v>308</v>
      </c>
      <c r="B180" s="12" t="s">
        <v>309</v>
      </c>
      <c r="C180" s="12" t="s">
        <v>105</v>
      </c>
      <c r="D180" s="12" t="s">
        <v>106</v>
      </c>
      <c r="E180" s="12">
        <v>2</v>
      </c>
      <c r="F180" s="12">
        <v>16837</v>
      </c>
      <c r="G180" s="12">
        <f t="shared" si="2"/>
        <v>33674</v>
      </c>
      <c r="H180" s="13">
        <v>46080</v>
      </c>
      <c r="I180" s="12" t="s">
        <v>49</v>
      </c>
      <c r="J180" s="12" t="s">
        <v>40</v>
      </c>
      <c r="K180" s="12">
        <v>3.8</v>
      </c>
    </row>
    <row r="181" spans="1:11">
      <c r="A181" s="12" t="s">
        <v>310</v>
      </c>
      <c r="B181" s="12" t="s">
        <v>175</v>
      </c>
      <c r="C181" s="12" t="s">
        <v>12</v>
      </c>
      <c r="D181" s="12" t="s">
        <v>7</v>
      </c>
      <c r="E181" s="12">
        <v>5</v>
      </c>
      <c r="F181" s="12">
        <v>29355</v>
      </c>
      <c r="G181" s="12">
        <f t="shared" si="2"/>
        <v>146775</v>
      </c>
      <c r="H181" s="13">
        <v>46077</v>
      </c>
      <c r="I181" s="12" t="s">
        <v>27</v>
      </c>
      <c r="J181" s="12" t="s">
        <v>43</v>
      </c>
      <c r="K181" s="12">
        <v>4.3</v>
      </c>
    </row>
    <row r="182" spans="1:11">
      <c r="A182" s="12" t="s">
        <v>311</v>
      </c>
      <c r="B182" s="12" t="s">
        <v>293</v>
      </c>
      <c r="C182" s="12" t="s">
        <v>13</v>
      </c>
      <c r="D182" s="12" t="s">
        <v>14</v>
      </c>
      <c r="E182" s="12">
        <v>1</v>
      </c>
      <c r="F182" s="12">
        <v>45235</v>
      </c>
      <c r="G182" s="12">
        <f t="shared" si="2"/>
        <v>45235</v>
      </c>
      <c r="H182" s="13">
        <v>46125</v>
      </c>
      <c r="I182" s="12" t="s">
        <v>35</v>
      </c>
      <c r="J182" s="12" t="s">
        <v>43</v>
      </c>
      <c r="K182" s="12">
        <v>3</v>
      </c>
    </row>
    <row r="183" spans="1:11">
      <c r="A183" s="12" t="s">
        <v>312</v>
      </c>
      <c r="B183" s="12" t="s">
        <v>178</v>
      </c>
      <c r="C183" s="12" t="s">
        <v>105</v>
      </c>
      <c r="D183" s="12" t="s">
        <v>106</v>
      </c>
      <c r="E183" s="12">
        <v>2</v>
      </c>
      <c r="F183" s="12">
        <v>42111</v>
      </c>
      <c r="G183" s="12">
        <f t="shared" si="2"/>
        <v>84222</v>
      </c>
      <c r="H183" s="13">
        <v>46088</v>
      </c>
      <c r="I183" s="12" t="s">
        <v>27</v>
      </c>
      <c r="J183" s="12" t="s">
        <v>8</v>
      </c>
      <c r="K183" s="12">
        <v>5</v>
      </c>
    </row>
    <row r="184" spans="1:11">
      <c r="A184" s="12" t="s">
        <v>313</v>
      </c>
      <c r="B184" s="12" t="s">
        <v>219</v>
      </c>
      <c r="C184" s="12" t="s">
        <v>55</v>
      </c>
      <c r="D184" s="12" t="s">
        <v>56</v>
      </c>
      <c r="E184" s="12">
        <v>4</v>
      </c>
      <c r="F184" s="12">
        <v>18362</v>
      </c>
      <c r="G184" s="12">
        <f t="shared" si="2"/>
        <v>73448</v>
      </c>
      <c r="H184" s="13">
        <v>46151</v>
      </c>
      <c r="I184" s="12" t="s">
        <v>46</v>
      </c>
      <c r="J184" s="12" t="s">
        <v>65</v>
      </c>
      <c r="K184" s="12">
        <v>3.1</v>
      </c>
    </row>
    <row r="185" spans="1:11">
      <c r="A185" s="12" t="s">
        <v>314</v>
      </c>
      <c r="B185" s="12" t="s">
        <v>223</v>
      </c>
      <c r="C185" s="12" t="s">
        <v>59</v>
      </c>
      <c r="D185" s="12" t="s">
        <v>7</v>
      </c>
      <c r="E185" s="12">
        <v>2</v>
      </c>
      <c r="F185" s="12">
        <v>44807</v>
      </c>
      <c r="G185" s="12">
        <f t="shared" si="2"/>
        <v>89614</v>
      </c>
      <c r="H185" s="13">
        <v>46033</v>
      </c>
      <c r="I185" s="12" t="s">
        <v>9</v>
      </c>
      <c r="J185" s="12" t="s">
        <v>30</v>
      </c>
      <c r="K185" s="12">
        <v>4.0999999999999996</v>
      </c>
    </row>
    <row r="186" spans="1:11">
      <c r="A186" s="12" t="s">
        <v>315</v>
      </c>
      <c r="B186" s="12" t="s">
        <v>58</v>
      </c>
      <c r="C186" s="12" t="s">
        <v>26</v>
      </c>
      <c r="D186" s="12" t="s">
        <v>7</v>
      </c>
      <c r="E186" s="12">
        <v>3</v>
      </c>
      <c r="F186" s="12">
        <v>659</v>
      </c>
      <c r="G186" s="12">
        <f t="shared" si="2"/>
        <v>1977</v>
      </c>
      <c r="H186" s="13">
        <v>46024</v>
      </c>
      <c r="I186" s="12" t="s">
        <v>64</v>
      </c>
      <c r="J186" s="12" t="s">
        <v>65</v>
      </c>
      <c r="K186" s="12">
        <v>4</v>
      </c>
    </row>
    <row r="187" spans="1:11">
      <c r="A187" s="12" t="s">
        <v>316</v>
      </c>
      <c r="B187" s="12" t="s">
        <v>130</v>
      </c>
      <c r="C187" s="12" t="s">
        <v>59</v>
      </c>
      <c r="D187" s="12" t="s">
        <v>7</v>
      </c>
      <c r="E187" s="12">
        <v>1</v>
      </c>
      <c r="F187" s="12">
        <v>31761</v>
      </c>
      <c r="G187" s="12">
        <f t="shared" si="2"/>
        <v>31761</v>
      </c>
      <c r="H187" s="13">
        <v>46070</v>
      </c>
      <c r="I187" s="12" t="s">
        <v>74</v>
      </c>
      <c r="J187" s="12" t="s">
        <v>40</v>
      </c>
      <c r="K187" s="12">
        <v>4.3</v>
      </c>
    </row>
    <row r="188" spans="1:11">
      <c r="A188" s="12" t="s">
        <v>317</v>
      </c>
      <c r="B188" s="12" t="s">
        <v>178</v>
      </c>
      <c r="C188" s="12" t="s">
        <v>16</v>
      </c>
      <c r="D188" s="12" t="s">
        <v>14</v>
      </c>
      <c r="E188" s="12">
        <v>2</v>
      </c>
      <c r="F188" s="12">
        <v>41256</v>
      </c>
      <c r="G188" s="12">
        <f t="shared" si="2"/>
        <v>82512</v>
      </c>
      <c r="H188" s="13">
        <v>46079</v>
      </c>
      <c r="I188" s="12" t="s">
        <v>74</v>
      </c>
      <c r="J188" s="12" t="s">
        <v>65</v>
      </c>
      <c r="K188" s="12">
        <v>4.9000000000000004</v>
      </c>
    </row>
    <row r="189" spans="1:11">
      <c r="A189" s="12" t="s">
        <v>318</v>
      </c>
      <c r="B189" s="12" t="s">
        <v>309</v>
      </c>
      <c r="C189" s="12" t="s">
        <v>6</v>
      </c>
      <c r="D189" s="12" t="s">
        <v>7</v>
      </c>
      <c r="E189" s="12">
        <v>5</v>
      </c>
      <c r="F189" s="12">
        <v>2812</v>
      </c>
      <c r="G189" s="12">
        <f t="shared" si="2"/>
        <v>14060</v>
      </c>
      <c r="H189" s="13">
        <v>46110</v>
      </c>
      <c r="I189" s="12" t="s">
        <v>46</v>
      </c>
      <c r="J189" s="12" t="s">
        <v>8</v>
      </c>
      <c r="K189" s="12">
        <v>3.2</v>
      </c>
    </row>
    <row r="190" spans="1:11">
      <c r="A190" s="12" t="s">
        <v>319</v>
      </c>
      <c r="B190" s="12" t="s">
        <v>320</v>
      </c>
      <c r="C190" s="12" t="s">
        <v>52</v>
      </c>
      <c r="D190" s="12" t="s">
        <v>11</v>
      </c>
      <c r="E190" s="12">
        <v>5</v>
      </c>
      <c r="F190" s="12">
        <v>46395</v>
      </c>
      <c r="G190" s="12">
        <f t="shared" si="2"/>
        <v>231975</v>
      </c>
      <c r="H190" s="13">
        <v>46183</v>
      </c>
      <c r="I190" s="12" t="s">
        <v>35</v>
      </c>
      <c r="J190" s="12" t="s">
        <v>8</v>
      </c>
      <c r="K190" s="12">
        <v>4.9000000000000004</v>
      </c>
    </row>
    <row r="191" spans="1:11">
      <c r="A191" s="12" t="s">
        <v>321</v>
      </c>
      <c r="B191" s="12" t="s">
        <v>290</v>
      </c>
      <c r="C191" s="12" t="s">
        <v>13</v>
      </c>
      <c r="D191" s="12" t="s">
        <v>14</v>
      </c>
      <c r="E191" s="12">
        <v>2</v>
      </c>
      <c r="F191" s="12">
        <v>7078</v>
      </c>
      <c r="G191" s="12">
        <f t="shared" si="2"/>
        <v>14156</v>
      </c>
      <c r="H191" s="13">
        <v>46052</v>
      </c>
      <c r="I191" s="12" t="s">
        <v>9</v>
      </c>
      <c r="J191" s="12" t="s">
        <v>65</v>
      </c>
      <c r="K191" s="12">
        <v>3.2</v>
      </c>
    </row>
    <row r="192" spans="1:11">
      <c r="A192" s="12" t="s">
        <v>322</v>
      </c>
      <c r="B192" s="12" t="s">
        <v>290</v>
      </c>
      <c r="C192" s="12" t="s">
        <v>6</v>
      </c>
      <c r="D192" s="12" t="s">
        <v>7</v>
      </c>
      <c r="E192" s="12">
        <v>2</v>
      </c>
      <c r="F192" s="12">
        <v>46323</v>
      </c>
      <c r="G192" s="12">
        <f t="shared" si="2"/>
        <v>92646</v>
      </c>
      <c r="H192" s="13">
        <v>46068</v>
      </c>
      <c r="I192" s="12" t="s">
        <v>46</v>
      </c>
      <c r="J192" s="12" t="s">
        <v>40</v>
      </c>
      <c r="K192" s="12">
        <v>3.5</v>
      </c>
    </row>
    <row r="193" spans="1:11">
      <c r="A193" s="12" t="s">
        <v>323</v>
      </c>
      <c r="B193" s="12" t="s">
        <v>132</v>
      </c>
      <c r="C193" s="12" t="s">
        <v>55</v>
      </c>
      <c r="D193" s="12" t="s">
        <v>56</v>
      </c>
      <c r="E193" s="12">
        <v>2</v>
      </c>
      <c r="F193" s="12">
        <v>48456</v>
      </c>
      <c r="G193" s="12">
        <f t="shared" si="2"/>
        <v>96912</v>
      </c>
      <c r="H193" s="13">
        <v>46171</v>
      </c>
      <c r="I193" s="12" t="s">
        <v>74</v>
      </c>
      <c r="J193" s="12" t="s">
        <v>30</v>
      </c>
      <c r="K193" s="12">
        <v>4.2</v>
      </c>
    </row>
    <row r="194" spans="1:11">
      <c r="A194" s="12" t="s">
        <v>324</v>
      </c>
      <c r="B194" s="12" t="s">
        <v>228</v>
      </c>
      <c r="C194" s="12" t="s">
        <v>79</v>
      </c>
      <c r="D194" s="12" t="s">
        <v>80</v>
      </c>
      <c r="E194" s="12">
        <v>1</v>
      </c>
      <c r="F194" s="12">
        <v>49234</v>
      </c>
      <c r="G194" s="12">
        <f t="shared" si="2"/>
        <v>49234</v>
      </c>
      <c r="H194" s="13">
        <v>46183</v>
      </c>
      <c r="I194" s="12" t="s">
        <v>74</v>
      </c>
      <c r="J194" s="12" t="s">
        <v>8</v>
      </c>
      <c r="K194" s="12">
        <v>4.0999999999999996</v>
      </c>
    </row>
    <row r="195" spans="1:11">
      <c r="A195" s="12" t="s">
        <v>325</v>
      </c>
      <c r="B195" s="12" t="s">
        <v>86</v>
      </c>
      <c r="C195" s="12" t="s">
        <v>12</v>
      </c>
      <c r="D195" s="12" t="s">
        <v>7</v>
      </c>
      <c r="E195" s="12">
        <v>3</v>
      </c>
      <c r="F195" s="12">
        <v>22866</v>
      </c>
      <c r="G195" s="12">
        <f t="shared" ref="G195:G258" si="3">SUM(F195*E195)</f>
        <v>68598</v>
      </c>
      <c r="H195" s="13">
        <v>46050</v>
      </c>
      <c r="I195" s="12" t="s">
        <v>35</v>
      </c>
      <c r="J195" s="12" t="s">
        <v>40</v>
      </c>
      <c r="K195" s="12">
        <v>4</v>
      </c>
    </row>
    <row r="196" spans="1:11">
      <c r="A196" s="12" t="s">
        <v>326</v>
      </c>
      <c r="B196" s="12" t="s">
        <v>126</v>
      </c>
      <c r="C196" s="12" t="s">
        <v>10</v>
      </c>
      <c r="D196" s="12" t="s">
        <v>11</v>
      </c>
      <c r="E196" s="12">
        <v>4</v>
      </c>
      <c r="F196" s="12">
        <v>37798</v>
      </c>
      <c r="G196" s="12">
        <f t="shared" si="3"/>
        <v>151192</v>
      </c>
      <c r="H196" s="13">
        <v>46135</v>
      </c>
      <c r="I196" s="12" t="s">
        <v>46</v>
      </c>
      <c r="J196" s="12" t="s">
        <v>30</v>
      </c>
      <c r="K196" s="12">
        <v>4</v>
      </c>
    </row>
    <row r="197" spans="1:11">
      <c r="A197" s="12" t="s">
        <v>327</v>
      </c>
      <c r="B197" s="12" t="s">
        <v>82</v>
      </c>
      <c r="C197" s="12" t="s">
        <v>52</v>
      </c>
      <c r="D197" s="12" t="s">
        <v>11</v>
      </c>
      <c r="E197" s="12">
        <v>4</v>
      </c>
      <c r="F197" s="12">
        <v>40801</v>
      </c>
      <c r="G197" s="12">
        <f t="shared" si="3"/>
        <v>163204</v>
      </c>
      <c r="H197" s="13">
        <v>46136</v>
      </c>
      <c r="I197" s="12" t="s">
        <v>74</v>
      </c>
      <c r="J197" s="12" t="s">
        <v>30</v>
      </c>
      <c r="K197" s="12">
        <v>3.2</v>
      </c>
    </row>
    <row r="198" spans="1:11">
      <c r="A198" s="12" t="s">
        <v>328</v>
      </c>
      <c r="B198" s="12" t="s">
        <v>290</v>
      </c>
      <c r="C198" s="12" t="s">
        <v>6</v>
      </c>
      <c r="D198" s="12" t="s">
        <v>7</v>
      </c>
      <c r="E198" s="12">
        <v>5</v>
      </c>
      <c r="F198" s="12">
        <v>9208</v>
      </c>
      <c r="G198" s="12">
        <f t="shared" si="3"/>
        <v>46040</v>
      </c>
      <c r="H198" s="13">
        <v>46062</v>
      </c>
      <c r="I198" s="12" t="s">
        <v>35</v>
      </c>
      <c r="J198" s="12" t="s">
        <v>40</v>
      </c>
      <c r="K198" s="12">
        <v>4.5</v>
      </c>
    </row>
    <row r="199" spans="1:11">
      <c r="A199" s="12" t="s">
        <v>329</v>
      </c>
      <c r="B199" s="12" t="s">
        <v>54</v>
      </c>
      <c r="C199" s="12" t="s">
        <v>59</v>
      </c>
      <c r="D199" s="12" t="s">
        <v>7</v>
      </c>
      <c r="E199" s="12">
        <v>5</v>
      </c>
      <c r="F199" s="12">
        <v>5542</v>
      </c>
      <c r="G199" s="12">
        <f t="shared" si="3"/>
        <v>27710</v>
      </c>
      <c r="H199" s="13">
        <v>46170</v>
      </c>
      <c r="I199" s="12" t="s">
        <v>46</v>
      </c>
      <c r="J199" s="12" t="s">
        <v>30</v>
      </c>
      <c r="K199" s="12">
        <v>3.6</v>
      </c>
    </row>
    <row r="200" spans="1:11">
      <c r="A200" s="12" t="s">
        <v>330</v>
      </c>
      <c r="B200" s="12" t="s">
        <v>213</v>
      </c>
      <c r="C200" s="12" t="s">
        <v>10</v>
      </c>
      <c r="D200" s="12" t="s">
        <v>11</v>
      </c>
      <c r="E200" s="12">
        <v>4</v>
      </c>
      <c r="F200" s="12">
        <v>36432</v>
      </c>
      <c r="G200" s="12">
        <f t="shared" si="3"/>
        <v>145728</v>
      </c>
      <c r="H200" s="13">
        <v>46163</v>
      </c>
      <c r="I200" s="12" t="s">
        <v>27</v>
      </c>
      <c r="J200" s="12" t="s">
        <v>40</v>
      </c>
      <c r="K200" s="12">
        <v>3.6</v>
      </c>
    </row>
    <row r="201" spans="1:11">
      <c r="A201" s="12" t="s">
        <v>331</v>
      </c>
      <c r="B201" s="12" t="s">
        <v>89</v>
      </c>
      <c r="C201" s="12" t="s">
        <v>59</v>
      </c>
      <c r="D201" s="12" t="s">
        <v>7</v>
      </c>
      <c r="E201" s="12">
        <v>4</v>
      </c>
      <c r="F201" s="12">
        <v>28598</v>
      </c>
      <c r="G201" s="12">
        <f t="shared" si="3"/>
        <v>114392</v>
      </c>
      <c r="H201" s="13">
        <v>46125</v>
      </c>
      <c r="I201" s="12" t="s">
        <v>27</v>
      </c>
      <c r="J201" s="12" t="s">
        <v>65</v>
      </c>
      <c r="K201" s="12">
        <v>3.5</v>
      </c>
    </row>
    <row r="202" spans="1:11">
      <c r="A202" s="12" t="s">
        <v>332</v>
      </c>
      <c r="B202" s="12" t="s">
        <v>190</v>
      </c>
      <c r="C202" s="12" t="s">
        <v>55</v>
      </c>
      <c r="D202" s="12" t="s">
        <v>56</v>
      </c>
      <c r="E202" s="12">
        <v>3</v>
      </c>
      <c r="F202" s="12">
        <v>2255</v>
      </c>
      <c r="G202" s="12">
        <f t="shared" si="3"/>
        <v>6765</v>
      </c>
      <c r="H202" s="13">
        <v>46082</v>
      </c>
      <c r="I202" s="12" t="s">
        <v>9</v>
      </c>
      <c r="J202" s="12" t="s">
        <v>40</v>
      </c>
      <c r="K202" s="12">
        <v>3.3</v>
      </c>
    </row>
    <row r="203" spans="1:11">
      <c r="A203" s="12" t="s">
        <v>333</v>
      </c>
      <c r="B203" s="12" t="s">
        <v>69</v>
      </c>
      <c r="C203" s="12" t="s">
        <v>55</v>
      </c>
      <c r="D203" s="12" t="s">
        <v>56</v>
      </c>
      <c r="E203" s="12">
        <v>4</v>
      </c>
      <c r="F203" s="12">
        <v>17685</v>
      </c>
      <c r="G203" s="12">
        <f t="shared" si="3"/>
        <v>70740</v>
      </c>
      <c r="H203" s="13">
        <v>46095</v>
      </c>
      <c r="I203" s="12" t="s">
        <v>64</v>
      </c>
      <c r="J203" s="12" t="s">
        <v>30</v>
      </c>
      <c r="K203" s="12">
        <v>4.2</v>
      </c>
    </row>
    <row r="204" spans="1:11">
      <c r="A204" s="12" t="s">
        <v>334</v>
      </c>
      <c r="B204" s="12" t="s">
        <v>119</v>
      </c>
      <c r="C204" s="12" t="s">
        <v>79</v>
      </c>
      <c r="D204" s="12" t="s">
        <v>80</v>
      </c>
      <c r="E204" s="12">
        <v>4</v>
      </c>
      <c r="F204" s="12">
        <v>25206</v>
      </c>
      <c r="G204" s="12">
        <f t="shared" si="3"/>
        <v>100824</v>
      </c>
      <c r="H204" s="13">
        <v>46084</v>
      </c>
      <c r="I204" s="12" t="s">
        <v>46</v>
      </c>
      <c r="J204" s="12" t="s">
        <v>30</v>
      </c>
      <c r="K204" s="12">
        <v>3.9</v>
      </c>
    </row>
    <row r="205" spans="1:11">
      <c r="A205" s="12" t="s">
        <v>335</v>
      </c>
      <c r="B205" s="12" t="s">
        <v>237</v>
      </c>
      <c r="C205" s="12" t="s">
        <v>12</v>
      </c>
      <c r="D205" s="12" t="s">
        <v>7</v>
      </c>
      <c r="E205" s="12">
        <v>5</v>
      </c>
      <c r="F205" s="12">
        <v>44776</v>
      </c>
      <c r="G205" s="12">
        <f t="shared" si="3"/>
        <v>223880</v>
      </c>
      <c r="H205" s="13">
        <v>46124</v>
      </c>
      <c r="I205" s="12" t="s">
        <v>9</v>
      </c>
      <c r="J205" s="12" t="s">
        <v>43</v>
      </c>
      <c r="K205" s="12">
        <v>4.2</v>
      </c>
    </row>
    <row r="206" spans="1:11">
      <c r="A206" s="12" t="s">
        <v>336</v>
      </c>
      <c r="B206" s="12" t="s">
        <v>190</v>
      </c>
      <c r="C206" s="12" t="s">
        <v>10</v>
      </c>
      <c r="D206" s="12" t="s">
        <v>11</v>
      </c>
      <c r="E206" s="12">
        <v>3</v>
      </c>
      <c r="F206" s="12">
        <v>39868</v>
      </c>
      <c r="G206" s="12">
        <f t="shared" si="3"/>
        <v>119604</v>
      </c>
      <c r="H206" s="13">
        <v>46116</v>
      </c>
      <c r="I206" s="12" t="s">
        <v>27</v>
      </c>
      <c r="J206" s="12" t="s">
        <v>40</v>
      </c>
      <c r="K206" s="12">
        <v>3.9</v>
      </c>
    </row>
    <row r="207" spans="1:11">
      <c r="A207" s="12" t="s">
        <v>337</v>
      </c>
      <c r="B207" s="12" t="s">
        <v>157</v>
      </c>
      <c r="C207" s="12" t="s">
        <v>105</v>
      </c>
      <c r="D207" s="12" t="s">
        <v>106</v>
      </c>
      <c r="E207" s="12">
        <v>4</v>
      </c>
      <c r="F207" s="12">
        <v>21267</v>
      </c>
      <c r="G207" s="12">
        <f t="shared" si="3"/>
        <v>85068</v>
      </c>
      <c r="H207" s="13">
        <v>46175</v>
      </c>
      <c r="I207" s="12" t="s">
        <v>74</v>
      </c>
      <c r="J207" s="12" t="s">
        <v>65</v>
      </c>
      <c r="K207" s="12">
        <v>3.3</v>
      </c>
    </row>
    <row r="208" spans="1:11">
      <c r="A208" s="12" t="s">
        <v>338</v>
      </c>
      <c r="B208" s="12" t="s">
        <v>61</v>
      </c>
      <c r="C208" s="12" t="s">
        <v>12</v>
      </c>
      <c r="D208" s="12" t="s">
        <v>7</v>
      </c>
      <c r="E208" s="12">
        <v>5</v>
      </c>
      <c r="F208" s="12">
        <v>31059</v>
      </c>
      <c r="G208" s="12">
        <f t="shared" si="3"/>
        <v>155295</v>
      </c>
      <c r="H208" s="13">
        <v>46024</v>
      </c>
      <c r="I208" s="12" t="s">
        <v>9</v>
      </c>
      <c r="J208" s="12" t="s">
        <v>43</v>
      </c>
      <c r="K208" s="12">
        <v>4.5</v>
      </c>
    </row>
    <row r="209" spans="1:11">
      <c r="A209" s="12" t="s">
        <v>339</v>
      </c>
      <c r="B209" s="12" t="s">
        <v>73</v>
      </c>
      <c r="C209" s="12" t="s">
        <v>59</v>
      </c>
      <c r="D209" s="12" t="s">
        <v>7</v>
      </c>
      <c r="E209" s="12">
        <v>4</v>
      </c>
      <c r="F209" s="12">
        <v>44334</v>
      </c>
      <c r="G209" s="12">
        <f t="shared" si="3"/>
        <v>177336</v>
      </c>
      <c r="H209" s="13">
        <v>46146</v>
      </c>
      <c r="I209" s="12" t="s">
        <v>27</v>
      </c>
      <c r="J209" s="12" t="s">
        <v>65</v>
      </c>
      <c r="K209" s="12">
        <v>3.6</v>
      </c>
    </row>
    <row r="210" spans="1:11">
      <c r="A210" s="12" t="s">
        <v>340</v>
      </c>
      <c r="B210" s="12" t="s">
        <v>76</v>
      </c>
      <c r="C210" s="12" t="s">
        <v>15</v>
      </c>
      <c r="D210" s="12" t="s">
        <v>7</v>
      </c>
      <c r="E210" s="12">
        <v>4</v>
      </c>
      <c r="F210" s="12">
        <v>7138</v>
      </c>
      <c r="G210" s="12">
        <f t="shared" si="3"/>
        <v>28552</v>
      </c>
      <c r="H210" s="13">
        <v>46035</v>
      </c>
      <c r="I210" s="12" t="s">
        <v>49</v>
      </c>
      <c r="J210" s="12" t="s">
        <v>40</v>
      </c>
      <c r="K210" s="12">
        <v>4.2</v>
      </c>
    </row>
    <row r="211" spans="1:11">
      <c r="A211" s="12" t="s">
        <v>341</v>
      </c>
      <c r="B211" s="12" t="s">
        <v>157</v>
      </c>
      <c r="C211" s="12" t="s">
        <v>6</v>
      </c>
      <c r="D211" s="12" t="s">
        <v>7</v>
      </c>
      <c r="E211" s="12">
        <v>2</v>
      </c>
      <c r="F211" s="12">
        <v>30628</v>
      </c>
      <c r="G211" s="12">
        <f t="shared" si="3"/>
        <v>61256</v>
      </c>
      <c r="H211" s="13">
        <v>46106</v>
      </c>
      <c r="I211" s="12" t="s">
        <v>46</v>
      </c>
      <c r="J211" s="12" t="s">
        <v>40</v>
      </c>
      <c r="K211" s="12">
        <v>4.9000000000000004</v>
      </c>
    </row>
    <row r="212" spans="1:11">
      <c r="A212" s="12" t="s">
        <v>342</v>
      </c>
      <c r="B212" s="12" t="s">
        <v>182</v>
      </c>
      <c r="C212" s="12" t="s">
        <v>6</v>
      </c>
      <c r="D212" s="12" t="s">
        <v>7</v>
      </c>
      <c r="E212" s="12">
        <v>4</v>
      </c>
      <c r="F212" s="12">
        <v>33080</v>
      </c>
      <c r="G212" s="12">
        <f t="shared" si="3"/>
        <v>132320</v>
      </c>
      <c r="H212" s="13">
        <v>46123</v>
      </c>
      <c r="I212" s="12" t="s">
        <v>64</v>
      </c>
      <c r="J212" s="12" t="s">
        <v>65</v>
      </c>
      <c r="K212" s="12">
        <v>3.7</v>
      </c>
    </row>
    <row r="213" spans="1:11">
      <c r="A213" s="12" t="s">
        <v>343</v>
      </c>
      <c r="B213" s="12" t="s">
        <v>128</v>
      </c>
      <c r="C213" s="12" t="s">
        <v>6</v>
      </c>
      <c r="D213" s="12" t="s">
        <v>7</v>
      </c>
      <c r="E213" s="12">
        <v>4</v>
      </c>
      <c r="F213" s="12">
        <v>14437</v>
      </c>
      <c r="G213" s="12">
        <f t="shared" si="3"/>
        <v>57748</v>
      </c>
      <c r="H213" s="13">
        <v>46143</v>
      </c>
      <c r="I213" s="12" t="s">
        <v>35</v>
      </c>
      <c r="J213" s="12" t="s">
        <v>43</v>
      </c>
      <c r="K213" s="12">
        <v>3.4</v>
      </c>
    </row>
    <row r="214" spans="1:11">
      <c r="A214" s="12" t="s">
        <v>344</v>
      </c>
      <c r="B214" s="12" t="s">
        <v>264</v>
      </c>
      <c r="C214" s="12" t="s">
        <v>59</v>
      </c>
      <c r="D214" s="12" t="s">
        <v>7</v>
      </c>
      <c r="E214" s="12">
        <v>5</v>
      </c>
      <c r="F214" s="12">
        <v>41937</v>
      </c>
      <c r="G214" s="12">
        <f t="shared" si="3"/>
        <v>209685</v>
      </c>
      <c r="H214" s="13">
        <v>46040</v>
      </c>
      <c r="I214" s="12" t="s">
        <v>74</v>
      </c>
      <c r="J214" s="12" t="s">
        <v>40</v>
      </c>
      <c r="K214" s="12">
        <v>4.5</v>
      </c>
    </row>
    <row r="215" spans="1:11">
      <c r="A215" s="12" t="s">
        <v>345</v>
      </c>
      <c r="B215" s="12" t="s">
        <v>346</v>
      </c>
      <c r="C215" s="12" t="s">
        <v>12</v>
      </c>
      <c r="D215" s="12" t="s">
        <v>7</v>
      </c>
      <c r="E215" s="12">
        <v>2</v>
      </c>
      <c r="F215" s="12">
        <v>25538</v>
      </c>
      <c r="G215" s="12">
        <f t="shared" si="3"/>
        <v>51076</v>
      </c>
      <c r="H215" s="13">
        <v>46168</v>
      </c>
      <c r="I215" s="12" t="s">
        <v>49</v>
      </c>
      <c r="J215" s="12" t="s">
        <v>65</v>
      </c>
      <c r="K215" s="12">
        <v>3.8</v>
      </c>
    </row>
    <row r="216" spans="1:11">
      <c r="A216" s="12" t="s">
        <v>347</v>
      </c>
      <c r="B216" s="12" t="s">
        <v>348</v>
      </c>
      <c r="C216" s="12" t="s">
        <v>105</v>
      </c>
      <c r="D216" s="12" t="s">
        <v>106</v>
      </c>
      <c r="E216" s="12">
        <v>4</v>
      </c>
      <c r="F216" s="12">
        <v>47712</v>
      </c>
      <c r="G216" s="12">
        <f t="shared" si="3"/>
        <v>190848</v>
      </c>
      <c r="H216" s="13">
        <v>46047</v>
      </c>
      <c r="I216" s="12" t="s">
        <v>46</v>
      </c>
      <c r="J216" s="12" t="s">
        <v>65</v>
      </c>
      <c r="K216" s="12">
        <v>3.5</v>
      </c>
    </row>
    <row r="217" spans="1:11">
      <c r="A217" s="12" t="s">
        <v>349</v>
      </c>
      <c r="B217" s="12" t="s">
        <v>150</v>
      </c>
      <c r="C217" s="12" t="s">
        <v>13</v>
      </c>
      <c r="D217" s="12" t="s">
        <v>14</v>
      </c>
      <c r="E217" s="12">
        <v>1</v>
      </c>
      <c r="F217" s="12">
        <v>9273</v>
      </c>
      <c r="G217" s="12">
        <f t="shared" si="3"/>
        <v>9273</v>
      </c>
      <c r="H217" s="13">
        <v>46026</v>
      </c>
      <c r="I217" s="12" t="s">
        <v>35</v>
      </c>
      <c r="J217" s="12" t="s">
        <v>30</v>
      </c>
      <c r="K217" s="12">
        <v>3.1</v>
      </c>
    </row>
    <row r="218" spans="1:11">
      <c r="A218" s="12" t="s">
        <v>350</v>
      </c>
      <c r="B218" s="12" t="s">
        <v>248</v>
      </c>
      <c r="C218" s="12" t="s">
        <v>59</v>
      </c>
      <c r="D218" s="12" t="s">
        <v>7</v>
      </c>
      <c r="E218" s="12">
        <v>2</v>
      </c>
      <c r="F218" s="12">
        <v>13427</v>
      </c>
      <c r="G218" s="12">
        <f t="shared" si="3"/>
        <v>26854</v>
      </c>
      <c r="H218" s="13">
        <v>46066</v>
      </c>
      <c r="I218" s="12" t="s">
        <v>35</v>
      </c>
      <c r="J218" s="12" t="s">
        <v>40</v>
      </c>
      <c r="K218" s="12">
        <v>3.8</v>
      </c>
    </row>
    <row r="219" spans="1:11">
      <c r="A219" s="12" t="s">
        <v>351</v>
      </c>
      <c r="B219" s="12" t="s">
        <v>86</v>
      </c>
      <c r="C219" s="12" t="s">
        <v>12</v>
      </c>
      <c r="D219" s="12" t="s">
        <v>7</v>
      </c>
      <c r="E219" s="12">
        <v>4</v>
      </c>
      <c r="F219" s="12">
        <v>2790</v>
      </c>
      <c r="G219" s="12">
        <f t="shared" si="3"/>
        <v>11160</v>
      </c>
      <c r="H219" s="13">
        <v>46155</v>
      </c>
      <c r="I219" s="12" t="s">
        <v>46</v>
      </c>
      <c r="J219" s="12" t="s">
        <v>8</v>
      </c>
      <c r="K219" s="12">
        <v>3.2</v>
      </c>
    </row>
    <row r="220" spans="1:11">
      <c r="A220" s="12" t="s">
        <v>352</v>
      </c>
      <c r="B220" s="12" t="s">
        <v>353</v>
      </c>
      <c r="C220" s="12" t="s">
        <v>16</v>
      </c>
      <c r="D220" s="12" t="s">
        <v>14</v>
      </c>
      <c r="E220" s="12">
        <v>1</v>
      </c>
      <c r="F220" s="12">
        <v>28748</v>
      </c>
      <c r="G220" s="12">
        <f t="shared" si="3"/>
        <v>28748</v>
      </c>
      <c r="H220" s="13">
        <v>46123</v>
      </c>
      <c r="I220" s="12" t="s">
        <v>27</v>
      </c>
      <c r="J220" s="12" t="s">
        <v>8</v>
      </c>
      <c r="K220" s="12">
        <v>4.5</v>
      </c>
    </row>
    <row r="221" spans="1:11">
      <c r="A221" s="12" t="s">
        <v>354</v>
      </c>
      <c r="B221" s="12" t="s">
        <v>86</v>
      </c>
      <c r="C221" s="12" t="s">
        <v>6</v>
      </c>
      <c r="D221" s="12" t="s">
        <v>7</v>
      </c>
      <c r="E221" s="12">
        <v>5</v>
      </c>
      <c r="F221" s="12">
        <v>31589</v>
      </c>
      <c r="G221" s="12">
        <f t="shared" si="3"/>
        <v>157945</v>
      </c>
      <c r="H221" s="13">
        <v>46109</v>
      </c>
      <c r="I221" s="12" t="s">
        <v>49</v>
      </c>
      <c r="J221" s="12" t="s">
        <v>65</v>
      </c>
      <c r="K221" s="12">
        <v>3.8</v>
      </c>
    </row>
    <row r="222" spans="1:11">
      <c r="A222" s="12" t="s">
        <v>355</v>
      </c>
      <c r="B222" s="12" t="s">
        <v>190</v>
      </c>
      <c r="C222" s="12" t="s">
        <v>59</v>
      </c>
      <c r="D222" s="12" t="s">
        <v>7</v>
      </c>
      <c r="E222" s="12">
        <v>3</v>
      </c>
      <c r="F222" s="12">
        <v>19088</v>
      </c>
      <c r="G222" s="12">
        <f t="shared" si="3"/>
        <v>57264</v>
      </c>
      <c r="H222" s="13">
        <v>46144</v>
      </c>
      <c r="I222" s="12" t="s">
        <v>27</v>
      </c>
      <c r="J222" s="12" t="s">
        <v>43</v>
      </c>
      <c r="K222" s="12">
        <v>3.9</v>
      </c>
    </row>
    <row r="223" spans="1:11">
      <c r="A223" s="12" t="s">
        <v>356</v>
      </c>
      <c r="B223" s="12" t="s">
        <v>298</v>
      </c>
      <c r="C223" s="12" t="s">
        <v>6</v>
      </c>
      <c r="D223" s="12" t="s">
        <v>7</v>
      </c>
      <c r="E223" s="12">
        <v>5</v>
      </c>
      <c r="F223" s="12">
        <v>47946</v>
      </c>
      <c r="G223" s="12">
        <f t="shared" si="3"/>
        <v>239730</v>
      </c>
      <c r="H223" s="13">
        <v>46112</v>
      </c>
      <c r="I223" s="12" t="s">
        <v>49</v>
      </c>
      <c r="J223" s="12" t="s">
        <v>43</v>
      </c>
      <c r="K223" s="12">
        <v>3.7</v>
      </c>
    </row>
    <row r="224" spans="1:11">
      <c r="A224" s="12" t="s">
        <v>357</v>
      </c>
      <c r="B224" s="12" t="s">
        <v>283</v>
      </c>
      <c r="C224" s="12" t="s">
        <v>52</v>
      </c>
      <c r="D224" s="12" t="s">
        <v>11</v>
      </c>
      <c r="E224" s="12">
        <v>2</v>
      </c>
      <c r="F224" s="12">
        <v>29058</v>
      </c>
      <c r="G224" s="12">
        <f t="shared" si="3"/>
        <v>58116</v>
      </c>
      <c r="H224" s="13">
        <v>46082</v>
      </c>
      <c r="I224" s="12" t="s">
        <v>64</v>
      </c>
      <c r="J224" s="12" t="s">
        <v>30</v>
      </c>
      <c r="K224" s="12">
        <v>4.8</v>
      </c>
    </row>
    <row r="225" spans="1:11">
      <c r="A225" s="12" t="s">
        <v>358</v>
      </c>
      <c r="B225" s="12" t="s">
        <v>69</v>
      </c>
      <c r="C225" s="12" t="s">
        <v>12</v>
      </c>
      <c r="D225" s="12" t="s">
        <v>7</v>
      </c>
      <c r="E225" s="12">
        <v>3</v>
      </c>
      <c r="F225" s="12">
        <v>32644</v>
      </c>
      <c r="G225" s="12">
        <f t="shared" si="3"/>
        <v>97932</v>
      </c>
      <c r="H225" s="13">
        <v>46132</v>
      </c>
      <c r="I225" s="12" t="s">
        <v>9</v>
      </c>
      <c r="J225" s="12" t="s">
        <v>43</v>
      </c>
      <c r="K225" s="12">
        <v>3.6</v>
      </c>
    </row>
    <row r="226" spans="1:11">
      <c r="A226" s="12" t="s">
        <v>359</v>
      </c>
      <c r="B226" s="12" t="s">
        <v>348</v>
      </c>
      <c r="C226" s="12" t="s">
        <v>26</v>
      </c>
      <c r="D226" s="12" t="s">
        <v>7</v>
      </c>
      <c r="E226" s="12">
        <v>3</v>
      </c>
      <c r="F226" s="12">
        <v>10202</v>
      </c>
      <c r="G226" s="12">
        <f t="shared" si="3"/>
        <v>30606</v>
      </c>
      <c r="H226" s="13">
        <v>46109</v>
      </c>
      <c r="I226" s="12" t="s">
        <v>49</v>
      </c>
      <c r="J226" s="12" t="s">
        <v>65</v>
      </c>
      <c r="K226" s="12">
        <v>3.4</v>
      </c>
    </row>
    <row r="227" spans="1:11">
      <c r="A227" s="12" t="s">
        <v>360</v>
      </c>
      <c r="B227" s="12" t="s">
        <v>82</v>
      </c>
      <c r="C227" s="12" t="s">
        <v>55</v>
      </c>
      <c r="D227" s="12" t="s">
        <v>56</v>
      </c>
      <c r="E227" s="12">
        <v>4</v>
      </c>
      <c r="F227" s="12">
        <v>32036</v>
      </c>
      <c r="G227" s="12">
        <f t="shared" si="3"/>
        <v>128144</v>
      </c>
      <c r="H227" s="13">
        <v>46073</v>
      </c>
      <c r="I227" s="12" t="s">
        <v>46</v>
      </c>
      <c r="J227" s="12" t="s">
        <v>30</v>
      </c>
      <c r="K227" s="12">
        <v>4.5</v>
      </c>
    </row>
    <row r="228" spans="1:11">
      <c r="A228" s="12" t="s">
        <v>361</v>
      </c>
      <c r="B228" s="12" t="s">
        <v>69</v>
      </c>
      <c r="C228" s="12" t="s">
        <v>13</v>
      </c>
      <c r="D228" s="12" t="s">
        <v>14</v>
      </c>
      <c r="E228" s="12">
        <v>5</v>
      </c>
      <c r="F228" s="12">
        <v>39237</v>
      </c>
      <c r="G228" s="12">
        <f t="shared" si="3"/>
        <v>196185</v>
      </c>
      <c r="H228" s="13">
        <v>46073</v>
      </c>
      <c r="I228" s="12" t="s">
        <v>49</v>
      </c>
      <c r="J228" s="12" t="s">
        <v>65</v>
      </c>
      <c r="K228" s="12">
        <v>3.1</v>
      </c>
    </row>
    <row r="229" spans="1:11">
      <c r="A229" s="12" t="s">
        <v>362</v>
      </c>
      <c r="B229" s="12" t="s">
        <v>363</v>
      </c>
      <c r="C229" s="12" t="s">
        <v>16</v>
      </c>
      <c r="D229" s="12" t="s">
        <v>14</v>
      </c>
      <c r="E229" s="12">
        <v>1</v>
      </c>
      <c r="F229" s="12">
        <v>45886</v>
      </c>
      <c r="G229" s="12">
        <f t="shared" si="3"/>
        <v>45886</v>
      </c>
      <c r="H229" s="13">
        <v>46153</v>
      </c>
      <c r="I229" s="12" t="s">
        <v>64</v>
      </c>
      <c r="J229" s="12" t="s">
        <v>40</v>
      </c>
      <c r="K229" s="12">
        <v>4.9000000000000004</v>
      </c>
    </row>
    <row r="230" spans="1:11">
      <c r="A230" s="12" t="s">
        <v>364</v>
      </c>
      <c r="B230" s="12" t="s">
        <v>346</v>
      </c>
      <c r="C230" s="12" t="s">
        <v>13</v>
      </c>
      <c r="D230" s="12" t="s">
        <v>14</v>
      </c>
      <c r="E230" s="12">
        <v>3</v>
      </c>
      <c r="F230" s="12">
        <v>19520</v>
      </c>
      <c r="G230" s="12">
        <f t="shared" si="3"/>
        <v>58560</v>
      </c>
      <c r="H230" s="13">
        <v>46187</v>
      </c>
      <c r="I230" s="12" t="s">
        <v>46</v>
      </c>
      <c r="J230" s="12" t="s">
        <v>8</v>
      </c>
      <c r="K230" s="12">
        <v>4.9000000000000004</v>
      </c>
    </row>
    <row r="231" spans="1:11">
      <c r="A231" s="12" t="s">
        <v>365</v>
      </c>
      <c r="B231" s="12" t="s">
        <v>73</v>
      </c>
      <c r="C231" s="12" t="s">
        <v>59</v>
      </c>
      <c r="D231" s="12" t="s">
        <v>7</v>
      </c>
      <c r="E231" s="12">
        <v>5</v>
      </c>
      <c r="F231" s="12">
        <v>12806</v>
      </c>
      <c r="G231" s="12">
        <f t="shared" si="3"/>
        <v>64030</v>
      </c>
      <c r="H231" s="13">
        <v>46092</v>
      </c>
      <c r="I231" s="12" t="s">
        <v>64</v>
      </c>
      <c r="J231" s="12" t="s">
        <v>8</v>
      </c>
      <c r="K231" s="12">
        <v>4.5</v>
      </c>
    </row>
    <row r="232" spans="1:11">
      <c r="A232" s="12" t="s">
        <v>366</v>
      </c>
      <c r="B232" s="12" t="s">
        <v>300</v>
      </c>
      <c r="C232" s="12" t="s">
        <v>15</v>
      </c>
      <c r="D232" s="12" t="s">
        <v>7</v>
      </c>
      <c r="E232" s="12">
        <v>4</v>
      </c>
      <c r="F232" s="12">
        <v>14880</v>
      </c>
      <c r="G232" s="12">
        <f t="shared" si="3"/>
        <v>59520</v>
      </c>
      <c r="H232" s="13">
        <v>46038</v>
      </c>
      <c r="I232" s="12" t="s">
        <v>64</v>
      </c>
      <c r="J232" s="12" t="s">
        <v>40</v>
      </c>
      <c r="K232" s="12">
        <v>3.7</v>
      </c>
    </row>
    <row r="233" spans="1:11">
      <c r="A233" s="12" t="s">
        <v>367</v>
      </c>
      <c r="B233" s="12" t="s">
        <v>175</v>
      </c>
      <c r="C233" s="12" t="s">
        <v>15</v>
      </c>
      <c r="D233" s="12" t="s">
        <v>7</v>
      </c>
      <c r="E233" s="12">
        <v>3</v>
      </c>
      <c r="F233" s="12">
        <v>43988</v>
      </c>
      <c r="G233" s="12">
        <f t="shared" si="3"/>
        <v>131964</v>
      </c>
      <c r="H233" s="13">
        <v>46132</v>
      </c>
      <c r="I233" s="12" t="s">
        <v>74</v>
      </c>
      <c r="J233" s="12" t="s">
        <v>65</v>
      </c>
      <c r="K233" s="12">
        <v>4.2</v>
      </c>
    </row>
    <row r="234" spans="1:11">
      <c r="A234" s="12" t="s">
        <v>368</v>
      </c>
      <c r="B234" s="12" t="s">
        <v>144</v>
      </c>
      <c r="C234" s="12" t="s">
        <v>15</v>
      </c>
      <c r="D234" s="12" t="s">
        <v>7</v>
      </c>
      <c r="E234" s="12">
        <v>2</v>
      </c>
      <c r="F234" s="12">
        <v>32961</v>
      </c>
      <c r="G234" s="12">
        <f t="shared" si="3"/>
        <v>65922</v>
      </c>
      <c r="H234" s="13">
        <v>46157</v>
      </c>
      <c r="I234" s="12" t="s">
        <v>35</v>
      </c>
      <c r="J234" s="12" t="s">
        <v>30</v>
      </c>
      <c r="K234" s="12">
        <v>3.2</v>
      </c>
    </row>
    <row r="235" spans="1:11">
      <c r="A235" s="12" t="s">
        <v>369</v>
      </c>
      <c r="B235" s="12" t="s">
        <v>213</v>
      </c>
      <c r="C235" s="12" t="s">
        <v>26</v>
      </c>
      <c r="D235" s="12" t="s">
        <v>7</v>
      </c>
      <c r="E235" s="12">
        <v>3</v>
      </c>
      <c r="F235" s="12">
        <v>36170</v>
      </c>
      <c r="G235" s="12">
        <f t="shared" si="3"/>
        <v>108510</v>
      </c>
      <c r="H235" s="13">
        <v>46153</v>
      </c>
      <c r="I235" s="12" t="s">
        <v>46</v>
      </c>
      <c r="J235" s="12" t="s">
        <v>8</v>
      </c>
      <c r="K235" s="12">
        <v>3.1</v>
      </c>
    </row>
    <row r="236" spans="1:11">
      <c r="A236" s="12" t="s">
        <v>370</v>
      </c>
      <c r="B236" s="12" t="s">
        <v>104</v>
      </c>
      <c r="C236" s="12" t="s">
        <v>55</v>
      </c>
      <c r="D236" s="12" t="s">
        <v>56</v>
      </c>
      <c r="E236" s="12">
        <v>1</v>
      </c>
      <c r="F236" s="12">
        <v>30600</v>
      </c>
      <c r="G236" s="12">
        <f t="shared" si="3"/>
        <v>30600</v>
      </c>
      <c r="H236" s="13">
        <v>46055</v>
      </c>
      <c r="I236" s="12" t="s">
        <v>27</v>
      </c>
      <c r="J236" s="12" t="s">
        <v>43</v>
      </c>
      <c r="K236" s="12">
        <v>4.4000000000000004</v>
      </c>
    </row>
    <row r="237" spans="1:11">
      <c r="A237" s="12" t="s">
        <v>371</v>
      </c>
      <c r="B237" s="12" t="s">
        <v>372</v>
      </c>
      <c r="C237" s="12" t="s">
        <v>15</v>
      </c>
      <c r="D237" s="12" t="s">
        <v>7</v>
      </c>
      <c r="E237" s="12">
        <v>3</v>
      </c>
      <c r="F237" s="12">
        <v>12065</v>
      </c>
      <c r="G237" s="12">
        <f t="shared" si="3"/>
        <v>36195</v>
      </c>
      <c r="H237" s="13">
        <v>46065</v>
      </c>
      <c r="I237" s="12" t="s">
        <v>46</v>
      </c>
      <c r="J237" s="12" t="s">
        <v>8</v>
      </c>
      <c r="K237" s="12">
        <v>3.8</v>
      </c>
    </row>
    <row r="238" spans="1:11">
      <c r="A238" s="12" t="s">
        <v>373</v>
      </c>
      <c r="B238" s="12" t="s">
        <v>190</v>
      </c>
      <c r="C238" s="12" t="s">
        <v>52</v>
      </c>
      <c r="D238" s="12" t="s">
        <v>11</v>
      </c>
      <c r="E238" s="12">
        <v>2</v>
      </c>
      <c r="F238" s="12">
        <v>2041</v>
      </c>
      <c r="G238" s="12">
        <f t="shared" si="3"/>
        <v>4082</v>
      </c>
      <c r="H238" s="13">
        <v>46082</v>
      </c>
      <c r="I238" s="12" t="s">
        <v>74</v>
      </c>
      <c r="J238" s="12" t="s">
        <v>8</v>
      </c>
      <c r="K238" s="12">
        <v>4.7</v>
      </c>
    </row>
    <row r="239" spans="1:11">
      <c r="A239" s="12" t="s">
        <v>374</v>
      </c>
      <c r="B239" s="12" t="s">
        <v>248</v>
      </c>
      <c r="C239" s="12" t="s">
        <v>105</v>
      </c>
      <c r="D239" s="12" t="s">
        <v>106</v>
      </c>
      <c r="E239" s="12">
        <v>1</v>
      </c>
      <c r="F239" s="12">
        <v>36197</v>
      </c>
      <c r="G239" s="12">
        <f t="shared" si="3"/>
        <v>36197</v>
      </c>
      <c r="H239" s="13">
        <v>46061</v>
      </c>
      <c r="I239" s="12" t="s">
        <v>49</v>
      </c>
      <c r="J239" s="12" t="s">
        <v>30</v>
      </c>
      <c r="K239" s="12">
        <v>4.4000000000000004</v>
      </c>
    </row>
    <row r="240" spans="1:11">
      <c r="A240" s="12" t="s">
        <v>375</v>
      </c>
      <c r="B240" s="12" t="s">
        <v>376</v>
      </c>
      <c r="C240" s="12" t="s">
        <v>52</v>
      </c>
      <c r="D240" s="12" t="s">
        <v>11</v>
      </c>
      <c r="E240" s="12">
        <v>3</v>
      </c>
      <c r="F240" s="12">
        <v>48210</v>
      </c>
      <c r="G240" s="12">
        <f t="shared" si="3"/>
        <v>144630</v>
      </c>
      <c r="H240" s="13">
        <v>46103</v>
      </c>
      <c r="I240" s="12" t="s">
        <v>74</v>
      </c>
      <c r="J240" s="12" t="s">
        <v>30</v>
      </c>
      <c r="K240" s="12">
        <v>4.8</v>
      </c>
    </row>
    <row r="241" spans="1:11">
      <c r="A241" s="12" t="s">
        <v>377</v>
      </c>
      <c r="B241" s="12" t="s">
        <v>267</v>
      </c>
      <c r="C241" s="12" t="s">
        <v>55</v>
      </c>
      <c r="D241" s="12" t="s">
        <v>56</v>
      </c>
      <c r="E241" s="12">
        <v>5</v>
      </c>
      <c r="F241" s="12">
        <v>29207</v>
      </c>
      <c r="G241" s="12">
        <f t="shared" si="3"/>
        <v>146035</v>
      </c>
      <c r="H241" s="13">
        <v>46051</v>
      </c>
      <c r="I241" s="12" t="s">
        <v>27</v>
      </c>
      <c r="J241" s="12" t="s">
        <v>40</v>
      </c>
      <c r="K241" s="12">
        <v>4.4000000000000004</v>
      </c>
    </row>
    <row r="242" spans="1:11">
      <c r="A242" s="12" t="s">
        <v>378</v>
      </c>
      <c r="B242" s="12" t="s">
        <v>175</v>
      </c>
      <c r="C242" s="12" t="s">
        <v>52</v>
      </c>
      <c r="D242" s="12" t="s">
        <v>11</v>
      </c>
      <c r="E242" s="12">
        <v>2</v>
      </c>
      <c r="F242" s="12">
        <v>7128</v>
      </c>
      <c r="G242" s="12">
        <f t="shared" si="3"/>
        <v>14256</v>
      </c>
      <c r="H242" s="13">
        <v>46026</v>
      </c>
      <c r="I242" s="12" t="s">
        <v>64</v>
      </c>
      <c r="J242" s="12" t="s">
        <v>40</v>
      </c>
      <c r="K242" s="12">
        <v>4.4000000000000004</v>
      </c>
    </row>
    <row r="243" spans="1:11">
      <c r="A243" s="12" t="s">
        <v>379</v>
      </c>
      <c r="B243" s="12" t="s">
        <v>114</v>
      </c>
      <c r="C243" s="12" t="s">
        <v>79</v>
      </c>
      <c r="D243" s="12" t="s">
        <v>80</v>
      </c>
      <c r="E243" s="12">
        <v>2</v>
      </c>
      <c r="F243" s="12">
        <v>48276</v>
      </c>
      <c r="G243" s="12">
        <f t="shared" si="3"/>
        <v>96552</v>
      </c>
      <c r="H243" s="13">
        <v>46063</v>
      </c>
      <c r="I243" s="12" t="s">
        <v>35</v>
      </c>
      <c r="J243" s="12" t="s">
        <v>43</v>
      </c>
      <c r="K243" s="12">
        <v>3.7</v>
      </c>
    </row>
    <row r="244" spans="1:11">
      <c r="A244" s="12" t="s">
        <v>380</v>
      </c>
      <c r="B244" s="12" t="s">
        <v>98</v>
      </c>
      <c r="C244" s="12" t="s">
        <v>6</v>
      </c>
      <c r="D244" s="12" t="s">
        <v>7</v>
      </c>
      <c r="E244" s="12">
        <v>2</v>
      </c>
      <c r="F244" s="12">
        <v>46096</v>
      </c>
      <c r="G244" s="12">
        <f t="shared" si="3"/>
        <v>92192</v>
      </c>
      <c r="H244" s="13">
        <v>46067</v>
      </c>
      <c r="I244" s="12" t="s">
        <v>74</v>
      </c>
      <c r="J244" s="12" t="s">
        <v>30</v>
      </c>
      <c r="K244" s="12">
        <v>3.9</v>
      </c>
    </row>
    <row r="245" spans="1:11">
      <c r="A245" s="12" t="s">
        <v>381</v>
      </c>
      <c r="B245" s="12" t="s">
        <v>95</v>
      </c>
      <c r="C245" s="12" t="s">
        <v>52</v>
      </c>
      <c r="D245" s="12" t="s">
        <v>11</v>
      </c>
      <c r="E245" s="12">
        <v>5</v>
      </c>
      <c r="F245" s="12">
        <v>14195</v>
      </c>
      <c r="G245" s="12">
        <f t="shared" si="3"/>
        <v>70975</v>
      </c>
      <c r="H245" s="13">
        <v>46175</v>
      </c>
      <c r="I245" s="12" t="s">
        <v>49</v>
      </c>
      <c r="J245" s="12" t="s">
        <v>43</v>
      </c>
      <c r="K245" s="12">
        <v>3.9</v>
      </c>
    </row>
    <row r="246" spans="1:11">
      <c r="A246" s="12" t="s">
        <v>382</v>
      </c>
      <c r="B246" s="12" t="s">
        <v>213</v>
      </c>
      <c r="C246" s="12" t="s">
        <v>10</v>
      </c>
      <c r="D246" s="12" t="s">
        <v>11</v>
      </c>
      <c r="E246" s="12">
        <v>3</v>
      </c>
      <c r="F246" s="12">
        <v>387</v>
      </c>
      <c r="G246" s="12">
        <f t="shared" si="3"/>
        <v>1161</v>
      </c>
      <c r="H246" s="13">
        <v>46169</v>
      </c>
      <c r="I246" s="12" t="s">
        <v>9</v>
      </c>
      <c r="J246" s="12" t="s">
        <v>8</v>
      </c>
      <c r="K246" s="12">
        <v>3.8</v>
      </c>
    </row>
    <row r="247" spans="1:11">
      <c r="A247" s="12" t="s">
        <v>383</v>
      </c>
      <c r="B247" s="12" t="s">
        <v>384</v>
      </c>
      <c r="C247" s="12" t="s">
        <v>6</v>
      </c>
      <c r="D247" s="12" t="s">
        <v>7</v>
      </c>
      <c r="E247" s="12">
        <v>2</v>
      </c>
      <c r="F247" s="12">
        <v>9560</v>
      </c>
      <c r="G247" s="12">
        <f t="shared" si="3"/>
        <v>19120</v>
      </c>
      <c r="H247" s="13">
        <v>46078</v>
      </c>
      <c r="I247" s="12" t="s">
        <v>46</v>
      </c>
      <c r="J247" s="12" t="s">
        <v>43</v>
      </c>
      <c r="K247" s="12">
        <v>3.2</v>
      </c>
    </row>
    <row r="248" spans="1:11">
      <c r="A248" s="12" t="s">
        <v>385</v>
      </c>
      <c r="B248" s="12" t="s">
        <v>98</v>
      </c>
      <c r="C248" s="12" t="s">
        <v>55</v>
      </c>
      <c r="D248" s="12" t="s">
        <v>56</v>
      </c>
      <c r="E248" s="12">
        <v>3</v>
      </c>
      <c r="F248" s="12">
        <v>38090</v>
      </c>
      <c r="G248" s="12">
        <f t="shared" si="3"/>
        <v>114270</v>
      </c>
      <c r="H248" s="13">
        <v>46083</v>
      </c>
      <c r="I248" s="12" t="s">
        <v>64</v>
      </c>
      <c r="J248" s="12" t="s">
        <v>30</v>
      </c>
      <c r="K248" s="12">
        <v>3.6</v>
      </c>
    </row>
    <row r="249" spans="1:11">
      <c r="A249" s="12" t="s">
        <v>386</v>
      </c>
      <c r="B249" s="12" t="s">
        <v>387</v>
      </c>
      <c r="C249" s="12" t="s">
        <v>12</v>
      </c>
      <c r="D249" s="12" t="s">
        <v>7</v>
      </c>
      <c r="E249" s="12">
        <v>5</v>
      </c>
      <c r="F249" s="12">
        <v>29285</v>
      </c>
      <c r="G249" s="12">
        <f t="shared" si="3"/>
        <v>146425</v>
      </c>
      <c r="H249" s="13">
        <v>46034</v>
      </c>
      <c r="I249" s="12" t="s">
        <v>27</v>
      </c>
      <c r="J249" s="12" t="s">
        <v>8</v>
      </c>
      <c r="K249" s="12">
        <v>4.3</v>
      </c>
    </row>
    <row r="250" spans="1:11">
      <c r="A250" s="12" t="s">
        <v>388</v>
      </c>
      <c r="B250" s="12" t="s">
        <v>257</v>
      </c>
      <c r="C250" s="12" t="s">
        <v>105</v>
      </c>
      <c r="D250" s="12" t="s">
        <v>106</v>
      </c>
      <c r="E250" s="12">
        <v>3</v>
      </c>
      <c r="F250" s="12">
        <v>13008</v>
      </c>
      <c r="G250" s="12">
        <f t="shared" si="3"/>
        <v>39024</v>
      </c>
      <c r="H250" s="13">
        <v>46066</v>
      </c>
      <c r="I250" s="12" t="s">
        <v>64</v>
      </c>
      <c r="J250" s="12" t="s">
        <v>40</v>
      </c>
      <c r="K250" s="12">
        <v>4.5999999999999996</v>
      </c>
    </row>
    <row r="251" spans="1:11">
      <c r="A251" s="12" t="s">
        <v>389</v>
      </c>
      <c r="B251" s="12" t="s">
        <v>144</v>
      </c>
      <c r="C251" s="12" t="s">
        <v>55</v>
      </c>
      <c r="D251" s="12" t="s">
        <v>56</v>
      </c>
      <c r="E251" s="12">
        <v>4</v>
      </c>
      <c r="F251" s="12">
        <v>16354</v>
      </c>
      <c r="G251" s="12">
        <f t="shared" si="3"/>
        <v>65416</v>
      </c>
      <c r="H251" s="13">
        <v>46060</v>
      </c>
      <c r="I251" s="12" t="s">
        <v>35</v>
      </c>
      <c r="J251" s="12" t="s">
        <v>30</v>
      </c>
      <c r="K251" s="12">
        <v>4.5999999999999996</v>
      </c>
    </row>
    <row r="252" spans="1:11">
      <c r="A252" s="12" t="s">
        <v>390</v>
      </c>
      <c r="B252" s="12" t="s">
        <v>39</v>
      </c>
      <c r="C252" s="12" t="s">
        <v>59</v>
      </c>
      <c r="D252" s="12" t="s">
        <v>7</v>
      </c>
      <c r="E252" s="12">
        <v>4</v>
      </c>
      <c r="F252" s="12">
        <v>36313</v>
      </c>
      <c r="G252" s="12">
        <f t="shared" si="3"/>
        <v>145252</v>
      </c>
      <c r="H252" s="13">
        <v>46063</v>
      </c>
      <c r="I252" s="12" t="s">
        <v>49</v>
      </c>
      <c r="J252" s="12" t="s">
        <v>40</v>
      </c>
      <c r="K252" s="12">
        <v>3.9</v>
      </c>
    </row>
    <row r="253" spans="1:11">
      <c r="A253" s="12" t="s">
        <v>391</v>
      </c>
      <c r="B253" s="12" t="s">
        <v>300</v>
      </c>
      <c r="C253" s="12" t="s">
        <v>15</v>
      </c>
      <c r="D253" s="12" t="s">
        <v>7</v>
      </c>
      <c r="E253" s="12">
        <v>3</v>
      </c>
      <c r="F253" s="12">
        <v>29388</v>
      </c>
      <c r="G253" s="12">
        <f t="shared" si="3"/>
        <v>88164</v>
      </c>
      <c r="H253" s="13">
        <v>46149</v>
      </c>
      <c r="I253" s="12" t="s">
        <v>46</v>
      </c>
      <c r="J253" s="12" t="s">
        <v>40</v>
      </c>
      <c r="K253" s="12">
        <v>4.2</v>
      </c>
    </row>
    <row r="254" spans="1:11">
      <c r="A254" s="12" t="s">
        <v>392</v>
      </c>
      <c r="B254" s="12" t="s">
        <v>54</v>
      </c>
      <c r="C254" s="12" t="s">
        <v>15</v>
      </c>
      <c r="D254" s="12" t="s">
        <v>7</v>
      </c>
      <c r="E254" s="12">
        <v>1</v>
      </c>
      <c r="F254" s="12">
        <v>31529</v>
      </c>
      <c r="G254" s="12">
        <f t="shared" si="3"/>
        <v>31529</v>
      </c>
      <c r="H254" s="13">
        <v>46182</v>
      </c>
      <c r="I254" s="12" t="s">
        <v>74</v>
      </c>
      <c r="J254" s="12" t="s">
        <v>65</v>
      </c>
      <c r="K254" s="12">
        <v>3.2</v>
      </c>
    </row>
    <row r="255" spans="1:11">
      <c r="A255" s="12" t="s">
        <v>393</v>
      </c>
      <c r="B255" s="12" t="s">
        <v>135</v>
      </c>
      <c r="C255" s="12" t="s">
        <v>15</v>
      </c>
      <c r="D255" s="12" t="s">
        <v>7</v>
      </c>
      <c r="E255" s="12">
        <v>5</v>
      </c>
      <c r="F255" s="12">
        <v>48814</v>
      </c>
      <c r="G255" s="12">
        <f t="shared" si="3"/>
        <v>244070</v>
      </c>
      <c r="H255" s="13">
        <v>46188</v>
      </c>
      <c r="I255" s="12" t="s">
        <v>64</v>
      </c>
      <c r="J255" s="12" t="s">
        <v>65</v>
      </c>
      <c r="K255" s="12">
        <v>3.1</v>
      </c>
    </row>
    <row r="256" spans="1:11">
      <c r="A256" s="12" t="s">
        <v>394</v>
      </c>
      <c r="B256" s="12" t="s">
        <v>395</v>
      </c>
      <c r="C256" s="12" t="s">
        <v>15</v>
      </c>
      <c r="D256" s="12" t="s">
        <v>7</v>
      </c>
      <c r="E256" s="12">
        <v>5</v>
      </c>
      <c r="F256" s="12">
        <v>26029</v>
      </c>
      <c r="G256" s="12">
        <f t="shared" si="3"/>
        <v>130145</v>
      </c>
      <c r="H256" s="13">
        <v>46076</v>
      </c>
      <c r="I256" s="12" t="s">
        <v>9</v>
      </c>
      <c r="J256" s="12" t="s">
        <v>8</v>
      </c>
      <c r="K256" s="12">
        <v>4.3</v>
      </c>
    </row>
    <row r="257" spans="1:11">
      <c r="A257" s="12" t="s">
        <v>396</v>
      </c>
      <c r="B257" s="12" t="s">
        <v>144</v>
      </c>
      <c r="C257" s="12" t="s">
        <v>13</v>
      </c>
      <c r="D257" s="12" t="s">
        <v>14</v>
      </c>
      <c r="E257" s="12">
        <v>5</v>
      </c>
      <c r="F257" s="12">
        <v>21156</v>
      </c>
      <c r="G257" s="12">
        <f t="shared" si="3"/>
        <v>105780</v>
      </c>
      <c r="H257" s="13">
        <v>46120</v>
      </c>
      <c r="I257" s="12" t="s">
        <v>74</v>
      </c>
      <c r="J257" s="12" t="s">
        <v>65</v>
      </c>
      <c r="K257" s="12">
        <v>3.8</v>
      </c>
    </row>
    <row r="258" spans="1:11">
      <c r="A258" s="12" t="s">
        <v>397</v>
      </c>
      <c r="B258" s="12" t="s">
        <v>159</v>
      </c>
      <c r="C258" s="12" t="s">
        <v>6</v>
      </c>
      <c r="D258" s="12" t="s">
        <v>7</v>
      </c>
      <c r="E258" s="12">
        <v>3</v>
      </c>
      <c r="F258" s="12">
        <v>27909</v>
      </c>
      <c r="G258" s="12">
        <f t="shared" si="3"/>
        <v>83727</v>
      </c>
      <c r="H258" s="13">
        <v>46093</v>
      </c>
      <c r="I258" s="12" t="s">
        <v>46</v>
      </c>
      <c r="J258" s="12" t="s">
        <v>40</v>
      </c>
      <c r="K258" s="12">
        <v>4.4000000000000004</v>
      </c>
    </row>
    <row r="259" spans="1:11">
      <c r="A259" s="12" t="s">
        <v>398</v>
      </c>
      <c r="B259" s="12" t="s">
        <v>98</v>
      </c>
      <c r="C259" s="12" t="s">
        <v>6</v>
      </c>
      <c r="D259" s="12" t="s">
        <v>7</v>
      </c>
      <c r="E259" s="12">
        <v>5</v>
      </c>
      <c r="F259" s="12">
        <v>17700</v>
      </c>
      <c r="G259" s="12">
        <f t="shared" ref="G259:G322" si="4">SUM(F259*E259)</f>
        <v>88500</v>
      </c>
      <c r="H259" s="13">
        <v>46161</v>
      </c>
      <c r="I259" s="12" t="s">
        <v>49</v>
      </c>
      <c r="J259" s="12" t="s">
        <v>65</v>
      </c>
      <c r="K259" s="12">
        <v>4.9000000000000004</v>
      </c>
    </row>
    <row r="260" spans="1:11">
      <c r="A260" s="12" t="s">
        <v>399</v>
      </c>
      <c r="B260" s="12" t="s">
        <v>86</v>
      </c>
      <c r="C260" s="12" t="s">
        <v>59</v>
      </c>
      <c r="D260" s="12" t="s">
        <v>7</v>
      </c>
      <c r="E260" s="12">
        <v>3</v>
      </c>
      <c r="F260" s="12">
        <v>38204</v>
      </c>
      <c r="G260" s="12">
        <f t="shared" si="4"/>
        <v>114612</v>
      </c>
      <c r="H260" s="13">
        <v>46190</v>
      </c>
      <c r="I260" s="12" t="s">
        <v>35</v>
      </c>
      <c r="J260" s="12" t="s">
        <v>40</v>
      </c>
      <c r="K260" s="12">
        <v>3.7</v>
      </c>
    </row>
    <row r="261" spans="1:11">
      <c r="A261" s="12" t="s">
        <v>400</v>
      </c>
      <c r="B261" s="12" t="s">
        <v>376</v>
      </c>
      <c r="C261" s="12" t="s">
        <v>6</v>
      </c>
      <c r="D261" s="12" t="s">
        <v>7</v>
      </c>
      <c r="E261" s="12">
        <v>5</v>
      </c>
      <c r="F261" s="12">
        <v>26000</v>
      </c>
      <c r="G261" s="12">
        <f t="shared" si="4"/>
        <v>130000</v>
      </c>
      <c r="H261" s="13">
        <v>46155</v>
      </c>
      <c r="I261" s="12" t="s">
        <v>74</v>
      </c>
      <c r="J261" s="12" t="s">
        <v>8</v>
      </c>
      <c r="K261" s="12">
        <v>3</v>
      </c>
    </row>
    <row r="262" spans="1:11">
      <c r="A262" s="12" t="s">
        <v>401</v>
      </c>
      <c r="B262" s="12" t="s">
        <v>346</v>
      </c>
      <c r="C262" s="12" t="s">
        <v>6</v>
      </c>
      <c r="D262" s="12" t="s">
        <v>7</v>
      </c>
      <c r="E262" s="12">
        <v>2</v>
      </c>
      <c r="F262" s="12">
        <v>13285</v>
      </c>
      <c r="G262" s="12">
        <f t="shared" si="4"/>
        <v>26570</v>
      </c>
      <c r="H262" s="13">
        <v>46072</v>
      </c>
      <c r="I262" s="12" t="s">
        <v>74</v>
      </c>
      <c r="J262" s="12" t="s">
        <v>8</v>
      </c>
      <c r="K262" s="12">
        <v>3.6</v>
      </c>
    </row>
    <row r="263" spans="1:11">
      <c r="A263" s="12" t="s">
        <v>402</v>
      </c>
      <c r="B263" s="12" t="s">
        <v>225</v>
      </c>
      <c r="C263" s="12" t="s">
        <v>79</v>
      </c>
      <c r="D263" s="12" t="s">
        <v>80</v>
      </c>
      <c r="E263" s="12">
        <v>1</v>
      </c>
      <c r="F263" s="12">
        <v>31504</v>
      </c>
      <c r="G263" s="12">
        <f t="shared" si="4"/>
        <v>31504</v>
      </c>
      <c r="H263" s="13">
        <v>46118</v>
      </c>
      <c r="I263" s="12" t="s">
        <v>9</v>
      </c>
      <c r="J263" s="12" t="s">
        <v>30</v>
      </c>
      <c r="K263" s="12">
        <v>4.0999999999999996</v>
      </c>
    </row>
    <row r="264" spans="1:11">
      <c r="A264" s="12" t="s">
        <v>403</v>
      </c>
      <c r="B264" s="12" t="s">
        <v>135</v>
      </c>
      <c r="C264" s="12" t="s">
        <v>59</v>
      </c>
      <c r="D264" s="12" t="s">
        <v>7</v>
      </c>
      <c r="E264" s="12">
        <v>1</v>
      </c>
      <c r="F264" s="12">
        <v>22134</v>
      </c>
      <c r="G264" s="12">
        <f t="shared" si="4"/>
        <v>22134</v>
      </c>
      <c r="H264" s="13">
        <v>46090</v>
      </c>
      <c r="I264" s="12" t="s">
        <v>35</v>
      </c>
      <c r="J264" s="12" t="s">
        <v>43</v>
      </c>
      <c r="K264" s="12">
        <v>4</v>
      </c>
    </row>
    <row r="265" spans="1:11">
      <c r="A265" s="12" t="s">
        <v>404</v>
      </c>
      <c r="B265" s="12" t="s">
        <v>353</v>
      </c>
      <c r="C265" s="12" t="s">
        <v>79</v>
      </c>
      <c r="D265" s="12" t="s">
        <v>80</v>
      </c>
      <c r="E265" s="12">
        <v>2</v>
      </c>
      <c r="F265" s="12">
        <v>33562</v>
      </c>
      <c r="G265" s="12">
        <f t="shared" si="4"/>
        <v>67124</v>
      </c>
      <c r="H265" s="13">
        <v>46172</v>
      </c>
      <c r="I265" s="12" t="s">
        <v>35</v>
      </c>
      <c r="J265" s="12" t="s">
        <v>30</v>
      </c>
      <c r="K265" s="12">
        <v>3.4</v>
      </c>
    </row>
    <row r="266" spans="1:11">
      <c r="A266" s="12" t="s">
        <v>405</v>
      </c>
      <c r="B266" s="12" t="s">
        <v>91</v>
      </c>
      <c r="C266" s="12" t="s">
        <v>15</v>
      </c>
      <c r="D266" s="12" t="s">
        <v>7</v>
      </c>
      <c r="E266" s="12">
        <v>4</v>
      </c>
      <c r="F266" s="12">
        <v>34053</v>
      </c>
      <c r="G266" s="12">
        <f t="shared" si="4"/>
        <v>136212</v>
      </c>
      <c r="H266" s="13">
        <v>46159</v>
      </c>
      <c r="I266" s="12" t="s">
        <v>9</v>
      </c>
      <c r="J266" s="12" t="s">
        <v>65</v>
      </c>
      <c r="K266" s="12">
        <v>4.9000000000000004</v>
      </c>
    </row>
    <row r="267" spans="1:11">
      <c r="A267" s="12" t="s">
        <v>406</v>
      </c>
      <c r="B267" s="12" t="s">
        <v>102</v>
      </c>
      <c r="C267" s="12" t="s">
        <v>105</v>
      </c>
      <c r="D267" s="12" t="s">
        <v>106</v>
      </c>
      <c r="E267" s="12">
        <v>4</v>
      </c>
      <c r="F267" s="12">
        <v>21055</v>
      </c>
      <c r="G267" s="12">
        <f t="shared" si="4"/>
        <v>84220</v>
      </c>
      <c r="H267" s="13">
        <v>46043</v>
      </c>
      <c r="I267" s="12" t="s">
        <v>64</v>
      </c>
      <c r="J267" s="12" t="s">
        <v>8</v>
      </c>
      <c r="K267" s="12">
        <v>3.5</v>
      </c>
    </row>
    <row r="268" spans="1:11">
      <c r="A268" s="12" t="s">
        <v>407</v>
      </c>
      <c r="B268" s="12" t="s">
        <v>186</v>
      </c>
      <c r="C268" s="12" t="s">
        <v>55</v>
      </c>
      <c r="D268" s="12" t="s">
        <v>56</v>
      </c>
      <c r="E268" s="12">
        <v>1</v>
      </c>
      <c r="F268" s="12">
        <v>36765</v>
      </c>
      <c r="G268" s="12">
        <f t="shared" si="4"/>
        <v>36765</v>
      </c>
      <c r="H268" s="13">
        <v>46158</v>
      </c>
      <c r="I268" s="12" t="s">
        <v>64</v>
      </c>
      <c r="J268" s="12" t="s">
        <v>65</v>
      </c>
      <c r="K268" s="12">
        <v>3.9</v>
      </c>
    </row>
    <row r="269" spans="1:11">
      <c r="A269" s="12" t="s">
        <v>408</v>
      </c>
      <c r="B269" s="12" t="s">
        <v>210</v>
      </c>
      <c r="C269" s="12" t="s">
        <v>10</v>
      </c>
      <c r="D269" s="12" t="s">
        <v>11</v>
      </c>
      <c r="E269" s="12">
        <v>2</v>
      </c>
      <c r="F269" s="12">
        <v>27580</v>
      </c>
      <c r="G269" s="12">
        <f t="shared" si="4"/>
        <v>55160</v>
      </c>
      <c r="H269" s="13">
        <v>46124</v>
      </c>
      <c r="I269" s="12" t="s">
        <v>35</v>
      </c>
      <c r="J269" s="12" t="s">
        <v>65</v>
      </c>
      <c r="K269" s="12">
        <v>4.0999999999999996</v>
      </c>
    </row>
    <row r="270" spans="1:11">
      <c r="A270" s="12" t="s">
        <v>409</v>
      </c>
      <c r="B270" s="12" t="s">
        <v>76</v>
      </c>
      <c r="C270" s="12" t="s">
        <v>52</v>
      </c>
      <c r="D270" s="12" t="s">
        <v>11</v>
      </c>
      <c r="E270" s="12">
        <v>4</v>
      </c>
      <c r="F270" s="12">
        <v>2459</v>
      </c>
      <c r="G270" s="12">
        <f t="shared" si="4"/>
        <v>9836</v>
      </c>
      <c r="H270" s="13">
        <v>46158</v>
      </c>
      <c r="I270" s="12" t="s">
        <v>64</v>
      </c>
      <c r="J270" s="12" t="s">
        <v>8</v>
      </c>
      <c r="K270" s="12">
        <v>3.1</v>
      </c>
    </row>
    <row r="271" spans="1:11">
      <c r="A271" s="12" t="s">
        <v>410</v>
      </c>
      <c r="B271" s="12" t="s">
        <v>114</v>
      </c>
      <c r="C271" s="12" t="s">
        <v>105</v>
      </c>
      <c r="D271" s="12" t="s">
        <v>106</v>
      </c>
      <c r="E271" s="12">
        <v>1</v>
      </c>
      <c r="F271" s="12">
        <v>5720</v>
      </c>
      <c r="G271" s="12">
        <f t="shared" si="4"/>
        <v>5720</v>
      </c>
      <c r="H271" s="13">
        <v>46104</v>
      </c>
      <c r="I271" s="12" t="s">
        <v>27</v>
      </c>
      <c r="J271" s="12" t="s">
        <v>8</v>
      </c>
      <c r="K271" s="12">
        <v>3.5</v>
      </c>
    </row>
    <row r="272" spans="1:11">
      <c r="A272" s="12" t="s">
        <v>411</v>
      </c>
      <c r="B272" s="12" t="s">
        <v>264</v>
      </c>
      <c r="C272" s="12" t="s">
        <v>15</v>
      </c>
      <c r="D272" s="12" t="s">
        <v>7</v>
      </c>
      <c r="E272" s="12">
        <v>3</v>
      </c>
      <c r="F272" s="12">
        <v>34814</v>
      </c>
      <c r="G272" s="12">
        <f t="shared" si="4"/>
        <v>104442</v>
      </c>
      <c r="H272" s="13">
        <v>46034</v>
      </c>
      <c r="I272" s="12" t="s">
        <v>49</v>
      </c>
      <c r="J272" s="12" t="s">
        <v>65</v>
      </c>
      <c r="K272" s="12">
        <v>3.2</v>
      </c>
    </row>
    <row r="273" spans="1:11">
      <c r="A273" s="12" t="s">
        <v>412</v>
      </c>
      <c r="B273" s="12" t="s">
        <v>42</v>
      </c>
      <c r="C273" s="12" t="s">
        <v>12</v>
      </c>
      <c r="D273" s="12" t="s">
        <v>7</v>
      </c>
      <c r="E273" s="12">
        <v>3</v>
      </c>
      <c r="F273" s="12">
        <v>32975</v>
      </c>
      <c r="G273" s="12">
        <f t="shared" si="4"/>
        <v>98925</v>
      </c>
      <c r="H273" s="13">
        <v>46137</v>
      </c>
      <c r="I273" s="12" t="s">
        <v>27</v>
      </c>
      <c r="J273" s="12" t="s">
        <v>30</v>
      </c>
      <c r="K273" s="12">
        <v>4.7</v>
      </c>
    </row>
    <row r="274" spans="1:11">
      <c r="A274" s="12" t="s">
        <v>413</v>
      </c>
      <c r="B274" s="12" t="s">
        <v>102</v>
      </c>
      <c r="C274" s="12" t="s">
        <v>55</v>
      </c>
      <c r="D274" s="12" t="s">
        <v>56</v>
      </c>
      <c r="E274" s="12">
        <v>5</v>
      </c>
      <c r="F274" s="12">
        <v>28326</v>
      </c>
      <c r="G274" s="12">
        <f t="shared" si="4"/>
        <v>141630</v>
      </c>
      <c r="H274" s="13">
        <v>46062</v>
      </c>
      <c r="I274" s="12" t="s">
        <v>74</v>
      </c>
      <c r="J274" s="12" t="s">
        <v>40</v>
      </c>
      <c r="K274" s="12">
        <v>4</v>
      </c>
    </row>
    <row r="275" spans="1:11">
      <c r="A275" s="12" t="s">
        <v>414</v>
      </c>
      <c r="B275" s="12" t="s">
        <v>182</v>
      </c>
      <c r="C275" s="12" t="s">
        <v>6</v>
      </c>
      <c r="D275" s="12" t="s">
        <v>7</v>
      </c>
      <c r="E275" s="12">
        <v>3</v>
      </c>
      <c r="F275" s="12">
        <v>9135</v>
      </c>
      <c r="G275" s="12">
        <f t="shared" si="4"/>
        <v>27405</v>
      </c>
      <c r="H275" s="13">
        <v>46142</v>
      </c>
      <c r="I275" s="12" t="s">
        <v>64</v>
      </c>
      <c r="J275" s="12" t="s">
        <v>8</v>
      </c>
      <c r="K275" s="12">
        <v>4.4000000000000004</v>
      </c>
    </row>
    <row r="276" spans="1:11">
      <c r="A276" s="12" t="s">
        <v>415</v>
      </c>
      <c r="B276" s="12" t="s">
        <v>63</v>
      </c>
      <c r="C276" s="12" t="s">
        <v>52</v>
      </c>
      <c r="D276" s="12" t="s">
        <v>11</v>
      </c>
      <c r="E276" s="12">
        <v>2</v>
      </c>
      <c r="F276" s="12">
        <v>669</v>
      </c>
      <c r="G276" s="12">
        <f t="shared" si="4"/>
        <v>1338</v>
      </c>
      <c r="H276" s="13">
        <v>46147</v>
      </c>
      <c r="I276" s="12" t="s">
        <v>64</v>
      </c>
      <c r="J276" s="12" t="s">
        <v>8</v>
      </c>
      <c r="K276" s="12">
        <v>4</v>
      </c>
    </row>
    <row r="277" spans="1:11">
      <c r="A277" s="12" t="s">
        <v>416</v>
      </c>
      <c r="B277" s="12" t="s">
        <v>219</v>
      </c>
      <c r="C277" s="12" t="s">
        <v>10</v>
      </c>
      <c r="D277" s="12" t="s">
        <v>11</v>
      </c>
      <c r="E277" s="12">
        <v>2</v>
      </c>
      <c r="F277" s="12">
        <v>11618</v>
      </c>
      <c r="G277" s="12">
        <f t="shared" si="4"/>
        <v>23236</v>
      </c>
      <c r="H277" s="13">
        <v>46136</v>
      </c>
      <c r="I277" s="12" t="s">
        <v>49</v>
      </c>
      <c r="J277" s="12" t="s">
        <v>30</v>
      </c>
      <c r="K277" s="12">
        <v>4.8</v>
      </c>
    </row>
    <row r="278" spans="1:11">
      <c r="A278" s="12" t="s">
        <v>417</v>
      </c>
      <c r="B278" s="12" t="s">
        <v>128</v>
      </c>
      <c r="C278" s="12" t="s">
        <v>15</v>
      </c>
      <c r="D278" s="12" t="s">
        <v>7</v>
      </c>
      <c r="E278" s="12">
        <v>5</v>
      </c>
      <c r="F278" s="12">
        <v>25241</v>
      </c>
      <c r="G278" s="12">
        <f t="shared" si="4"/>
        <v>126205</v>
      </c>
      <c r="H278" s="13">
        <v>46121</v>
      </c>
      <c r="I278" s="12" t="s">
        <v>46</v>
      </c>
      <c r="J278" s="12" t="s">
        <v>65</v>
      </c>
      <c r="K278" s="12">
        <v>3.5</v>
      </c>
    </row>
    <row r="279" spans="1:11">
      <c r="A279" s="12" t="s">
        <v>418</v>
      </c>
      <c r="B279" s="12" t="s">
        <v>237</v>
      </c>
      <c r="C279" s="12" t="s">
        <v>15</v>
      </c>
      <c r="D279" s="12" t="s">
        <v>7</v>
      </c>
      <c r="E279" s="12">
        <v>5</v>
      </c>
      <c r="F279" s="12">
        <v>16532</v>
      </c>
      <c r="G279" s="12">
        <f t="shared" si="4"/>
        <v>82660</v>
      </c>
      <c r="H279" s="13">
        <v>46152</v>
      </c>
      <c r="I279" s="12" t="s">
        <v>49</v>
      </c>
      <c r="J279" s="12" t="s">
        <v>8</v>
      </c>
      <c r="K279" s="12">
        <v>3.2</v>
      </c>
    </row>
    <row r="280" spans="1:11">
      <c r="A280" s="12" t="s">
        <v>419</v>
      </c>
      <c r="B280" s="12" t="s">
        <v>225</v>
      </c>
      <c r="C280" s="12" t="s">
        <v>12</v>
      </c>
      <c r="D280" s="12" t="s">
        <v>7</v>
      </c>
      <c r="E280" s="12">
        <v>1</v>
      </c>
      <c r="F280" s="12">
        <v>26513</v>
      </c>
      <c r="G280" s="12">
        <f t="shared" si="4"/>
        <v>26513</v>
      </c>
      <c r="H280" s="13">
        <v>46126</v>
      </c>
      <c r="I280" s="12" t="s">
        <v>46</v>
      </c>
      <c r="J280" s="12" t="s">
        <v>65</v>
      </c>
      <c r="K280" s="12">
        <v>4.4000000000000004</v>
      </c>
    </row>
    <row r="281" spans="1:11">
      <c r="A281" s="12" t="s">
        <v>420</v>
      </c>
      <c r="B281" s="12" t="s">
        <v>39</v>
      </c>
      <c r="C281" s="12" t="s">
        <v>16</v>
      </c>
      <c r="D281" s="12" t="s">
        <v>14</v>
      </c>
      <c r="E281" s="12">
        <v>3</v>
      </c>
      <c r="F281" s="12">
        <v>26326</v>
      </c>
      <c r="G281" s="12">
        <f t="shared" si="4"/>
        <v>78978</v>
      </c>
      <c r="H281" s="13">
        <v>46178</v>
      </c>
      <c r="I281" s="12" t="s">
        <v>49</v>
      </c>
      <c r="J281" s="12" t="s">
        <v>8</v>
      </c>
      <c r="K281" s="12">
        <v>5</v>
      </c>
    </row>
    <row r="282" spans="1:11">
      <c r="A282" s="12" t="s">
        <v>421</v>
      </c>
      <c r="B282" s="12" t="s">
        <v>42</v>
      </c>
      <c r="C282" s="12" t="s">
        <v>52</v>
      </c>
      <c r="D282" s="12" t="s">
        <v>11</v>
      </c>
      <c r="E282" s="12">
        <v>2</v>
      </c>
      <c r="F282" s="12">
        <v>1361</v>
      </c>
      <c r="G282" s="12">
        <f t="shared" si="4"/>
        <v>2722</v>
      </c>
      <c r="H282" s="13">
        <v>46146</v>
      </c>
      <c r="I282" s="12" t="s">
        <v>35</v>
      </c>
      <c r="J282" s="12" t="s">
        <v>43</v>
      </c>
      <c r="K282" s="12">
        <v>4.5999999999999996</v>
      </c>
    </row>
    <row r="283" spans="1:11">
      <c r="A283" s="12" t="s">
        <v>422</v>
      </c>
      <c r="B283" s="12" t="s">
        <v>203</v>
      </c>
      <c r="C283" s="12" t="s">
        <v>12</v>
      </c>
      <c r="D283" s="12" t="s">
        <v>7</v>
      </c>
      <c r="E283" s="12">
        <v>4</v>
      </c>
      <c r="F283" s="12">
        <v>49108</v>
      </c>
      <c r="G283" s="12">
        <f t="shared" si="4"/>
        <v>196432</v>
      </c>
      <c r="H283" s="13">
        <v>46040</v>
      </c>
      <c r="I283" s="12" t="s">
        <v>35</v>
      </c>
      <c r="J283" s="12" t="s">
        <v>40</v>
      </c>
      <c r="K283" s="12">
        <v>3.5</v>
      </c>
    </row>
    <row r="284" spans="1:11">
      <c r="A284" s="12" t="s">
        <v>423</v>
      </c>
      <c r="B284" s="12" t="s">
        <v>283</v>
      </c>
      <c r="C284" s="12" t="s">
        <v>15</v>
      </c>
      <c r="D284" s="12" t="s">
        <v>7</v>
      </c>
      <c r="E284" s="12">
        <v>5</v>
      </c>
      <c r="F284" s="12">
        <v>42221</v>
      </c>
      <c r="G284" s="12">
        <f t="shared" si="4"/>
        <v>211105</v>
      </c>
      <c r="H284" s="13">
        <v>46044</v>
      </c>
      <c r="I284" s="12" t="s">
        <v>74</v>
      </c>
      <c r="J284" s="12" t="s">
        <v>65</v>
      </c>
      <c r="K284" s="12">
        <v>4.2</v>
      </c>
    </row>
    <row r="285" spans="1:11">
      <c r="A285" s="12" t="s">
        <v>424</v>
      </c>
      <c r="B285" s="12" t="s">
        <v>170</v>
      </c>
      <c r="C285" s="12" t="s">
        <v>59</v>
      </c>
      <c r="D285" s="12" t="s">
        <v>7</v>
      </c>
      <c r="E285" s="12">
        <v>5</v>
      </c>
      <c r="F285" s="12">
        <v>45804</v>
      </c>
      <c r="G285" s="12">
        <f t="shared" si="4"/>
        <v>229020</v>
      </c>
      <c r="H285" s="13">
        <v>46098</v>
      </c>
      <c r="I285" s="12" t="s">
        <v>49</v>
      </c>
      <c r="J285" s="12" t="s">
        <v>40</v>
      </c>
      <c r="K285" s="12">
        <v>3.8</v>
      </c>
    </row>
    <row r="286" spans="1:11">
      <c r="A286" s="12" t="s">
        <v>425</v>
      </c>
      <c r="B286" s="12" t="s">
        <v>305</v>
      </c>
      <c r="C286" s="12" t="s">
        <v>26</v>
      </c>
      <c r="D286" s="12" t="s">
        <v>7</v>
      </c>
      <c r="E286" s="12">
        <v>1</v>
      </c>
      <c r="F286" s="12">
        <v>37918</v>
      </c>
      <c r="G286" s="12">
        <f t="shared" si="4"/>
        <v>37918</v>
      </c>
      <c r="H286" s="13">
        <v>46077</v>
      </c>
      <c r="I286" s="12" t="s">
        <v>46</v>
      </c>
      <c r="J286" s="12" t="s">
        <v>43</v>
      </c>
      <c r="K286" s="12">
        <v>4.5999999999999996</v>
      </c>
    </row>
    <row r="287" spans="1:11">
      <c r="A287" s="12" t="s">
        <v>426</v>
      </c>
      <c r="B287" s="12" t="s">
        <v>73</v>
      </c>
      <c r="C287" s="12" t="s">
        <v>15</v>
      </c>
      <c r="D287" s="12" t="s">
        <v>7</v>
      </c>
      <c r="E287" s="12">
        <v>1</v>
      </c>
      <c r="F287" s="12">
        <v>45119</v>
      </c>
      <c r="G287" s="12">
        <f t="shared" si="4"/>
        <v>45119</v>
      </c>
      <c r="H287" s="13">
        <v>46037</v>
      </c>
      <c r="I287" s="12" t="s">
        <v>64</v>
      </c>
      <c r="J287" s="12" t="s">
        <v>30</v>
      </c>
      <c r="K287" s="12">
        <v>4.9000000000000004</v>
      </c>
    </row>
    <row r="288" spans="1:11">
      <c r="A288" s="12" t="s">
        <v>427</v>
      </c>
      <c r="B288" s="12" t="s">
        <v>78</v>
      </c>
      <c r="C288" s="12" t="s">
        <v>79</v>
      </c>
      <c r="D288" s="12" t="s">
        <v>80</v>
      </c>
      <c r="E288" s="12">
        <v>3</v>
      </c>
      <c r="F288" s="12">
        <v>17833</v>
      </c>
      <c r="G288" s="12">
        <f t="shared" si="4"/>
        <v>53499</v>
      </c>
      <c r="H288" s="13">
        <v>46043</v>
      </c>
      <c r="I288" s="12" t="s">
        <v>9</v>
      </c>
      <c r="J288" s="12" t="s">
        <v>8</v>
      </c>
      <c r="K288" s="12">
        <v>4.3</v>
      </c>
    </row>
    <row r="289" spans="1:11">
      <c r="A289" s="12" t="s">
        <v>428</v>
      </c>
      <c r="B289" s="12" t="s">
        <v>82</v>
      </c>
      <c r="C289" s="12" t="s">
        <v>12</v>
      </c>
      <c r="D289" s="12" t="s">
        <v>7</v>
      </c>
      <c r="E289" s="12">
        <v>3</v>
      </c>
      <c r="F289" s="12">
        <v>2023</v>
      </c>
      <c r="G289" s="12">
        <f t="shared" si="4"/>
        <v>6069</v>
      </c>
      <c r="H289" s="13">
        <v>46116</v>
      </c>
      <c r="I289" s="12" t="s">
        <v>49</v>
      </c>
      <c r="J289" s="12" t="s">
        <v>8</v>
      </c>
      <c r="K289" s="12">
        <v>4.2</v>
      </c>
    </row>
    <row r="290" spans="1:11">
      <c r="A290" s="12" t="s">
        <v>429</v>
      </c>
      <c r="B290" s="12" t="s">
        <v>257</v>
      </c>
      <c r="C290" s="12" t="s">
        <v>6</v>
      </c>
      <c r="D290" s="12" t="s">
        <v>7</v>
      </c>
      <c r="E290" s="12">
        <v>5</v>
      </c>
      <c r="F290" s="12">
        <v>49968</v>
      </c>
      <c r="G290" s="12">
        <f t="shared" si="4"/>
        <v>249840</v>
      </c>
      <c r="H290" s="13">
        <v>46059</v>
      </c>
      <c r="I290" s="12" t="s">
        <v>35</v>
      </c>
      <c r="J290" s="12" t="s">
        <v>8</v>
      </c>
      <c r="K290" s="12">
        <v>3.8</v>
      </c>
    </row>
    <row r="291" spans="1:11">
      <c r="A291" s="12" t="s">
        <v>430</v>
      </c>
      <c r="B291" s="12" t="s">
        <v>84</v>
      </c>
      <c r="C291" s="12" t="s">
        <v>52</v>
      </c>
      <c r="D291" s="12" t="s">
        <v>11</v>
      </c>
      <c r="E291" s="12">
        <v>2</v>
      </c>
      <c r="F291" s="12">
        <v>17863</v>
      </c>
      <c r="G291" s="12">
        <f t="shared" si="4"/>
        <v>35726</v>
      </c>
      <c r="H291" s="13">
        <v>46106</v>
      </c>
      <c r="I291" s="12" t="s">
        <v>46</v>
      </c>
      <c r="J291" s="12" t="s">
        <v>65</v>
      </c>
      <c r="K291" s="12">
        <v>3.9</v>
      </c>
    </row>
    <row r="292" spans="1:11">
      <c r="A292" s="12" t="s">
        <v>431</v>
      </c>
      <c r="B292" s="12" t="s">
        <v>257</v>
      </c>
      <c r="C292" s="12" t="s">
        <v>15</v>
      </c>
      <c r="D292" s="12" t="s">
        <v>7</v>
      </c>
      <c r="E292" s="12">
        <v>2</v>
      </c>
      <c r="F292" s="12">
        <v>5986</v>
      </c>
      <c r="G292" s="12">
        <f t="shared" si="4"/>
        <v>11972</v>
      </c>
      <c r="H292" s="13">
        <v>46166</v>
      </c>
      <c r="I292" s="12" t="s">
        <v>64</v>
      </c>
      <c r="J292" s="12" t="s">
        <v>40</v>
      </c>
      <c r="K292" s="12">
        <v>3.6</v>
      </c>
    </row>
    <row r="293" spans="1:11">
      <c r="A293" s="12" t="s">
        <v>432</v>
      </c>
      <c r="B293" s="12" t="s">
        <v>267</v>
      </c>
      <c r="C293" s="12" t="s">
        <v>12</v>
      </c>
      <c r="D293" s="12" t="s">
        <v>7</v>
      </c>
      <c r="E293" s="12">
        <v>5</v>
      </c>
      <c r="F293" s="12">
        <v>19562</v>
      </c>
      <c r="G293" s="12">
        <f t="shared" si="4"/>
        <v>97810</v>
      </c>
      <c r="H293" s="13">
        <v>46166</v>
      </c>
      <c r="I293" s="12" t="s">
        <v>64</v>
      </c>
      <c r="J293" s="12" t="s">
        <v>65</v>
      </c>
      <c r="K293" s="12">
        <v>3.8</v>
      </c>
    </row>
    <row r="294" spans="1:11">
      <c r="A294" s="12" t="s">
        <v>433</v>
      </c>
      <c r="B294" s="12" t="s">
        <v>128</v>
      </c>
      <c r="C294" s="12" t="s">
        <v>79</v>
      </c>
      <c r="D294" s="12" t="s">
        <v>80</v>
      </c>
      <c r="E294" s="12">
        <v>4</v>
      </c>
      <c r="F294" s="12">
        <v>46700</v>
      </c>
      <c r="G294" s="12">
        <f t="shared" si="4"/>
        <v>186800</v>
      </c>
      <c r="H294" s="13">
        <v>46191</v>
      </c>
      <c r="I294" s="12" t="s">
        <v>35</v>
      </c>
      <c r="J294" s="12" t="s">
        <v>65</v>
      </c>
      <c r="K294" s="12">
        <v>4.4000000000000004</v>
      </c>
    </row>
    <row r="295" spans="1:11">
      <c r="A295" s="12" t="s">
        <v>434</v>
      </c>
      <c r="B295" s="12" t="s">
        <v>51</v>
      </c>
      <c r="C295" s="12" t="s">
        <v>52</v>
      </c>
      <c r="D295" s="12" t="s">
        <v>11</v>
      </c>
      <c r="E295" s="12">
        <v>5</v>
      </c>
      <c r="F295" s="12">
        <v>7111</v>
      </c>
      <c r="G295" s="12">
        <f t="shared" si="4"/>
        <v>35555</v>
      </c>
      <c r="H295" s="13">
        <v>46166</v>
      </c>
      <c r="I295" s="12" t="s">
        <v>74</v>
      </c>
      <c r="J295" s="12" t="s">
        <v>40</v>
      </c>
      <c r="K295" s="12">
        <v>3.9</v>
      </c>
    </row>
    <row r="296" spans="1:11">
      <c r="A296" s="12" t="s">
        <v>435</v>
      </c>
      <c r="B296" s="12" t="s">
        <v>257</v>
      </c>
      <c r="C296" s="12" t="s">
        <v>12</v>
      </c>
      <c r="D296" s="12" t="s">
        <v>7</v>
      </c>
      <c r="E296" s="12">
        <v>5</v>
      </c>
      <c r="F296" s="12">
        <v>41852</v>
      </c>
      <c r="G296" s="12">
        <f t="shared" si="4"/>
        <v>209260</v>
      </c>
      <c r="H296" s="13">
        <v>46070</v>
      </c>
      <c r="I296" s="12" t="s">
        <v>64</v>
      </c>
      <c r="J296" s="12" t="s">
        <v>65</v>
      </c>
      <c r="K296" s="12">
        <v>4</v>
      </c>
    </row>
    <row r="297" spans="1:11">
      <c r="A297" s="12" t="s">
        <v>436</v>
      </c>
      <c r="B297" s="12" t="s">
        <v>135</v>
      </c>
      <c r="C297" s="12" t="s">
        <v>6</v>
      </c>
      <c r="D297" s="12" t="s">
        <v>7</v>
      </c>
      <c r="E297" s="12">
        <v>1</v>
      </c>
      <c r="F297" s="12">
        <v>37924</v>
      </c>
      <c r="G297" s="12">
        <f t="shared" si="4"/>
        <v>37924</v>
      </c>
      <c r="H297" s="13">
        <v>46168</v>
      </c>
      <c r="I297" s="12" t="s">
        <v>35</v>
      </c>
      <c r="J297" s="12" t="s">
        <v>65</v>
      </c>
      <c r="K297" s="12">
        <v>4.8</v>
      </c>
    </row>
    <row r="298" spans="1:11">
      <c r="A298" s="12" t="s">
        <v>437</v>
      </c>
      <c r="B298" s="12" t="s">
        <v>348</v>
      </c>
      <c r="C298" s="12" t="s">
        <v>105</v>
      </c>
      <c r="D298" s="12" t="s">
        <v>106</v>
      </c>
      <c r="E298" s="12">
        <v>5</v>
      </c>
      <c r="F298" s="12">
        <v>5546</v>
      </c>
      <c r="G298" s="12">
        <f t="shared" si="4"/>
        <v>27730</v>
      </c>
      <c r="H298" s="13">
        <v>46148</v>
      </c>
      <c r="I298" s="12" t="s">
        <v>74</v>
      </c>
      <c r="J298" s="12" t="s">
        <v>40</v>
      </c>
      <c r="K298" s="12">
        <v>4.2</v>
      </c>
    </row>
    <row r="299" spans="1:11">
      <c r="A299" s="12" t="s">
        <v>438</v>
      </c>
      <c r="B299" s="12" t="s">
        <v>395</v>
      </c>
      <c r="C299" s="12" t="s">
        <v>26</v>
      </c>
      <c r="D299" s="12" t="s">
        <v>7</v>
      </c>
      <c r="E299" s="12">
        <v>1</v>
      </c>
      <c r="F299" s="12">
        <v>4217</v>
      </c>
      <c r="G299" s="12">
        <f t="shared" si="4"/>
        <v>4217</v>
      </c>
      <c r="H299" s="13">
        <v>46090</v>
      </c>
      <c r="I299" s="12" t="s">
        <v>9</v>
      </c>
      <c r="J299" s="12" t="s">
        <v>65</v>
      </c>
      <c r="K299" s="12">
        <v>4.5999999999999996</v>
      </c>
    </row>
    <row r="300" spans="1:11">
      <c r="A300" s="12" t="s">
        <v>439</v>
      </c>
      <c r="B300" s="12" t="s">
        <v>78</v>
      </c>
      <c r="C300" s="12" t="s">
        <v>10</v>
      </c>
      <c r="D300" s="12" t="s">
        <v>11</v>
      </c>
      <c r="E300" s="12">
        <v>5</v>
      </c>
      <c r="F300" s="12">
        <v>18998</v>
      </c>
      <c r="G300" s="12">
        <f t="shared" si="4"/>
        <v>94990</v>
      </c>
      <c r="H300" s="13">
        <v>46138</v>
      </c>
      <c r="I300" s="12" t="s">
        <v>46</v>
      </c>
      <c r="J300" s="12" t="s">
        <v>40</v>
      </c>
      <c r="K300" s="12">
        <v>3.4</v>
      </c>
    </row>
    <row r="301" spans="1:11">
      <c r="A301" s="12" t="s">
        <v>440</v>
      </c>
      <c r="B301" s="12" t="s">
        <v>300</v>
      </c>
      <c r="C301" s="12" t="s">
        <v>15</v>
      </c>
      <c r="D301" s="12" t="s">
        <v>7</v>
      </c>
      <c r="E301" s="12">
        <v>1</v>
      </c>
      <c r="F301" s="12">
        <v>49639</v>
      </c>
      <c r="G301" s="12">
        <f t="shared" si="4"/>
        <v>49639</v>
      </c>
      <c r="H301" s="13">
        <v>46181</v>
      </c>
      <c r="I301" s="12" t="s">
        <v>49</v>
      </c>
      <c r="J301" s="12" t="s">
        <v>40</v>
      </c>
      <c r="K301" s="12">
        <v>3.1</v>
      </c>
    </row>
    <row r="302" spans="1:11">
      <c r="A302" s="12" t="s">
        <v>441</v>
      </c>
      <c r="B302" s="12" t="s">
        <v>124</v>
      </c>
      <c r="C302" s="12" t="s">
        <v>16</v>
      </c>
      <c r="D302" s="12" t="s">
        <v>14</v>
      </c>
      <c r="E302" s="12">
        <v>3</v>
      </c>
      <c r="F302" s="12">
        <v>1890</v>
      </c>
      <c r="G302" s="12">
        <f t="shared" si="4"/>
        <v>5670</v>
      </c>
      <c r="H302" s="13">
        <v>46185</v>
      </c>
      <c r="I302" s="12" t="s">
        <v>46</v>
      </c>
      <c r="J302" s="12" t="s">
        <v>40</v>
      </c>
      <c r="K302" s="12">
        <v>3.5</v>
      </c>
    </row>
    <row r="303" spans="1:11">
      <c r="A303" s="12" t="s">
        <v>442</v>
      </c>
      <c r="B303" s="12" t="s">
        <v>203</v>
      </c>
      <c r="C303" s="12" t="s">
        <v>16</v>
      </c>
      <c r="D303" s="12" t="s">
        <v>14</v>
      </c>
      <c r="E303" s="12">
        <v>1</v>
      </c>
      <c r="F303" s="12">
        <v>5872</v>
      </c>
      <c r="G303" s="12">
        <f t="shared" si="4"/>
        <v>5872</v>
      </c>
      <c r="H303" s="13">
        <v>46055</v>
      </c>
      <c r="I303" s="12" t="s">
        <v>49</v>
      </c>
      <c r="J303" s="12" t="s">
        <v>30</v>
      </c>
      <c r="K303" s="12">
        <v>4.9000000000000004</v>
      </c>
    </row>
    <row r="304" spans="1:11">
      <c r="A304" s="12" t="s">
        <v>443</v>
      </c>
      <c r="B304" s="12" t="s">
        <v>89</v>
      </c>
      <c r="C304" s="12" t="s">
        <v>59</v>
      </c>
      <c r="D304" s="12" t="s">
        <v>7</v>
      </c>
      <c r="E304" s="12">
        <v>3</v>
      </c>
      <c r="F304" s="12">
        <v>7996</v>
      </c>
      <c r="G304" s="12">
        <f t="shared" si="4"/>
        <v>23988</v>
      </c>
      <c r="H304" s="13">
        <v>46130</v>
      </c>
      <c r="I304" s="12" t="s">
        <v>27</v>
      </c>
      <c r="J304" s="12" t="s">
        <v>8</v>
      </c>
      <c r="K304" s="12">
        <v>4.3</v>
      </c>
    </row>
    <row r="305" spans="1:11">
      <c r="A305" s="12" t="s">
        <v>444</v>
      </c>
      <c r="B305" s="12" t="s">
        <v>348</v>
      </c>
      <c r="C305" s="12" t="s">
        <v>79</v>
      </c>
      <c r="D305" s="12" t="s">
        <v>80</v>
      </c>
      <c r="E305" s="12">
        <v>3</v>
      </c>
      <c r="F305" s="12">
        <v>46591</v>
      </c>
      <c r="G305" s="12">
        <f t="shared" si="4"/>
        <v>139773</v>
      </c>
      <c r="H305" s="13">
        <v>46052</v>
      </c>
      <c r="I305" s="12" t="s">
        <v>35</v>
      </c>
      <c r="J305" s="12" t="s">
        <v>30</v>
      </c>
      <c r="K305" s="12">
        <v>4.8</v>
      </c>
    </row>
    <row r="306" spans="1:11">
      <c r="A306" s="12" t="s">
        <v>445</v>
      </c>
      <c r="B306" s="12" t="s">
        <v>135</v>
      </c>
      <c r="C306" s="12" t="s">
        <v>52</v>
      </c>
      <c r="D306" s="12" t="s">
        <v>11</v>
      </c>
      <c r="E306" s="12">
        <v>3</v>
      </c>
      <c r="F306" s="12">
        <v>16701</v>
      </c>
      <c r="G306" s="12">
        <f t="shared" si="4"/>
        <v>50103</v>
      </c>
      <c r="H306" s="13">
        <v>46156</v>
      </c>
      <c r="I306" s="12" t="s">
        <v>35</v>
      </c>
      <c r="J306" s="12" t="s">
        <v>8</v>
      </c>
      <c r="K306" s="12">
        <v>4.3</v>
      </c>
    </row>
    <row r="307" spans="1:11">
      <c r="A307" s="12" t="s">
        <v>446</v>
      </c>
      <c r="B307" s="12" t="s">
        <v>170</v>
      </c>
      <c r="C307" s="12" t="s">
        <v>55</v>
      </c>
      <c r="D307" s="12" t="s">
        <v>56</v>
      </c>
      <c r="E307" s="12">
        <v>5</v>
      </c>
      <c r="F307" s="12">
        <v>26961</v>
      </c>
      <c r="G307" s="12">
        <f t="shared" si="4"/>
        <v>134805</v>
      </c>
      <c r="H307" s="13">
        <v>46116</v>
      </c>
      <c r="I307" s="12" t="s">
        <v>27</v>
      </c>
      <c r="J307" s="12" t="s">
        <v>43</v>
      </c>
      <c r="K307" s="12">
        <v>3.1</v>
      </c>
    </row>
    <row r="308" spans="1:11">
      <c r="A308" s="12" t="s">
        <v>447</v>
      </c>
      <c r="B308" s="12" t="s">
        <v>298</v>
      </c>
      <c r="C308" s="12" t="s">
        <v>13</v>
      </c>
      <c r="D308" s="12" t="s">
        <v>14</v>
      </c>
      <c r="E308" s="12">
        <v>4</v>
      </c>
      <c r="F308" s="12">
        <v>17448</v>
      </c>
      <c r="G308" s="12">
        <f t="shared" si="4"/>
        <v>69792</v>
      </c>
      <c r="H308" s="13">
        <v>46096</v>
      </c>
      <c r="I308" s="12" t="s">
        <v>27</v>
      </c>
      <c r="J308" s="12" t="s">
        <v>8</v>
      </c>
      <c r="K308" s="12">
        <v>3.9</v>
      </c>
    </row>
    <row r="309" spans="1:11">
      <c r="A309" s="12" t="s">
        <v>448</v>
      </c>
      <c r="B309" s="12" t="s">
        <v>167</v>
      </c>
      <c r="C309" s="12" t="s">
        <v>55</v>
      </c>
      <c r="D309" s="12" t="s">
        <v>56</v>
      </c>
      <c r="E309" s="12">
        <v>5</v>
      </c>
      <c r="F309" s="12">
        <v>14352</v>
      </c>
      <c r="G309" s="12">
        <f t="shared" si="4"/>
        <v>71760</v>
      </c>
      <c r="H309" s="13">
        <v>46052</v>
      </c>
      <c r="I309" s="12" t="s">
        <v>74</v>
      </c>
      <c r="J309" s="12" t="s">
        <v>40</v>
      </c>
      <c r="K309" s="12">
        <v>4.5999999999999996</v>
      </c>
    </row>
    <row r="310" spans="1:11">
      <c r="A310" s="12" t="s">
        <v>449</v>
      </c>
      <c r="B310" s="12" t="s">
        <v>170</v>
      </c>
      <c r="C310" s="12" t="s">
        <v>105</v>
      </c>
      <c r="D310" s="12" t="s">
        <v>106</v>
      </c>
      <c r="E310" s="12">
        <v>1</v>
      </c>
      <c r="F310" s="12">
        <v>9555</v>
      </c>
      <c r="G310" s="12">
        <f t="shared" si="4"/>
        <v>9555</v>
      </c>
      <c r="H310" s="13">
        <v>46187</v>
      </c>
      <c r="I310" s="12" t="s">
        <v>35</v>
      </c>
      <c r="J310" s="12" t="s">
        <v>43</v>
      </c>
      <c r="K310" s="12">
        <v>4.5</v>
      </c>
    </row>
    <row r="311" spans="1:11">
      <c r="A311" s="12" t="s">
        <v>450</v>
      </c>
      <c r="B311" s="12" t="s">
        <v>144</v>
      </c>
      <c r="C311" s="12" t="s">
        <v>6</v>
      </c>
      <c r="D311" s="12" t="s">
        <v>7</v>
      </c>
      <c r="E311" s="12">
        <v>4</v>
      </c>
      <c r="F311" s="12">
        <v>36623</v>
      </c>
      <c r="G311" s="12">
        <f t="shared" si="4"/>
        <v>146492</v>
      </c>
      <c r="H311" s="13">
        <v>46073</v>
      </c>
      <c r="I311" s="12" t="s">
        <v>35</v>
      </c>
      <c r="J311" s="12" t="s">
        <v>65</v>
      </c>
      <c r="K311" s="12">
        <v>4.9000000000000004</v>
      </c>
    </row>
    <row r="312" spans="1:11">
      <c r="A312" s="12" t="s">
        <v>451</v>
      </c>
      <c r="B312" s="12" t="s">
        <v>237</v>
      </c>
      <c r="C312" s="12" t="s">
        <v>6</v>
      </c>
      <c r="D312" s="12" t="s">
        <v>7</v>
      </c>
      <c r="E312" s="12">
        <v>5</v>
      </c>
      <c r="F312" s="12">
        <v>38562</v>
      </c>
      <c r="G312" s="12">
        <f t="shared" si="4"/>
        <v>192810</v>
      </c>
      <c r="H312" s="13">
        <v>46024</v>
      </c>
      <c r="I312" s="12" t="s">
        <v>64</v>
      </c>
      <c r="J312" s="12" t="s">
        <v>40</v>
      </c>
      <c r="K312" s="12">
        <v>4.4000000000000004</v>
      </c>
    </row>
    <row r="313" spans="1:11">
      <c r="A313" s="12" t="s">
        <v>452</v>
      </c>
      <c r="B313" s="12" t="s">
        <v>150</v>
      </c>
      <c r="C313" s="12" t="s">
        <v>6</v>
      </c>
      <c r="D313" s="12" t="s">
        <v>7</v>
      </c>
      <c r="E313" s="12">
        <v>4</v>
      </c>
      <c r="F313" s="12">
        <v>41809</v>
      </c>
      <c r="G313" s="12">
        <f t="shared" si="4"/>
        <v>167236</v>
      </c>
      <c r="H313" s="13">
        <v>46064</v>
      </c>
      <c r="I313" s="12" t="s">
        <v>27</v>
      </c>
      <c r="J313" s="12" t="s">
        <v>43</v>
      </c>
      <c r="K313" s="12">
        <v>4.5</v>
      </c>
    </row>
    <row r="314" spans="1:11">
      <c r="A314" s="12" t="s">
        <v>453</v>
      </c>
      <c r="B314" s="12" t="s">
        <v>54</v>
      </c>
      <c r="C314" s="12" t="s">
        <v>16</v>
      </c>
      <c r="D314" s="12" t="s">
        <v>14</v>
      </c>
      <c r="E314" s="12">
        <v>4</v>
      </c>
      <c r="F314" s="12">
        <v>22486</v>
      </c>
      <c r="G314" s="12">
        <f t="shared" si="4"/>
        <v>89944</v>
      </c>
      <c r="H314" s="13">
        <v>46085</v>
      </c>
      <c r="I314" s="12" t="s">
        <v>74</v>
      </c>
      <c r="J314" s="12" t="s">
        <v>43</v>
      </c>
      <c r="K314" s="12">
        <v>4.0999999999999996</v>
      </c>
    </row>
    <row r="315" spans="1:11">
      <c r="A315" s="12" t="s">
        <v>454</v>
      </c>
      <c r="B315" s="12" t="s">
        <v>295</v>
      </c>
      <c r="C315" s="12" t="s">
        <v>55</v>
      </c>
      <c r="D315" s="12" t="s">
        <v>56</v>
      </c>
      <c r="E315" s="12">
        <v>3</v>
      </c>
      <c r="F315" s="12">
        <v>22179</v>
      </c>
      <c r="G315" s="12">
        <f t="shared" si="4"/>
        <v>66537</v>
      </c>
      <c r="H315" s="13">
        <v>46062</v>
      </c>
      <c r="I315" s="12" t="s">
        <v>74</v>
      </c>
      <c r="J315" s="12" t="s">
        <v>43</v>
      </c>
      <c r="K315" s="12">
        <v>4.9000000000000004</v>
      </c>
    </row>
    <row r="316" spans="1:11">
      <c r="A316" s="12" t="s">
        <v>455</v>
      </c>
      <c r="B316" s="12" t="s">
        <v>86</v>
      </c>
      <c r="C316" s="12" t="s">
        <v>26</v>
      </c>
      <c r="D316" s="12" t="s">
        <v>7</v>
      </c>
      <c r="E316" s="12">
        <v>4</v>
      </c>
      <c r="F316" s="12">
        <v>11275</v>
      </c>
      <c r="G316" s="12">
        <f t="shared" si="4"/>
        <v>45100</v>
      </c>
      <c r="H316" s="13">
        <v>46039</v>
      </c>
      <c r="I316" s="12" t="s">
        <v>64</v>
      </c>
      <c r="J316" s="12" t="s">
        <v>43</v>
      </c>
      <c r="K316" s="12">
        <v>3.6</v>
      </c>
    </row>
    <row r="317" spans="1:11">
      <c r="A317" s="12" t="s">
        <v>456</v>
      </c>
      <c r="B317" s="12" t="s">
        <v>295</v>
      </c>
      <c r="C317" s="12" t="s">
        <v>15</v>
      </c>
      <c r="D317" s="12" t="s">
        <v>7</v>
      </c>
      <c r="E317" s="12">
        <v>3</v>
      </c>
      <c r="F317" s="12">
        <v>18810</v>
      </c>
      <c r="G317" s="12">
        <f t="shared" si="4"/>
        <v>56430</v>
      </c>
      <c r="H317" s="13">
        <v>46103</v>
      </c>
      <c r="I317" s="12" t="s">
        <v>9</v>
      </c>
      <c r="J317" s="12" t="s">
        <v>8</v>
      </c>
      <c r="K317" s="12">
        <v>5</v>
      </c>
    </row>
    <row r="318" spans="1:11">
      <c r="A318" s="12" t="s">
        <v>457</v>
      </c>
      <c r="B318" s="12" t="s">
        <v>295</v>
      </c>
      <c r="C318" s="12" t="s">
        <v>16</v>
      </c>
      <c r="D318" s="12" t="s">
        <v>14</v>
      </c>
      <c r="E318" s="12">
        <v>2</v>
      </c>
      <c r="F318" s="12">
        <v>17816</v>
      </c>
      <c r="G318" s="12">
        <f t="shared" si="4"/>
        <v>35632</v>
      </c>
      <c r="H318" s="13">
        <v>46108</v>
      </c>
      <c r="I318" s="12" t="s">
        <v>35</v>
      </c>
      <c r="J318" s="12" t="s">
        <v>65</v>
      </c>
      <c r="K318" s="12">
        <v>4.0999999999999996</v>
      </c>
    </row>
    <row r="319" spans="1:11">
      <c r="A319" s="12" t="s">
        <v>458</v>
      </c>
      <c r="B319" s="12" t="s">
        <v>76</v>
      </c>
      <c r="C319" s="12" t="s">
        <v>15</v>
      </c>
      <c r="D319" s="12" t="s">
        <v>7</v>
      </c>
      <c r="E319" s="12">
        <v>1</v>
      </c>
      <c r="F319" s="12">
        <v>16089</v>
      </c>
      <c r="G319" s="12">
        <f t="shared" si="4"/>
        <v>16089</v>
      </c>
      <c r="H319" s="13">
        <v>46144</v>
      </c>
      <c r="I319" s="12" t="s">
        <v>27</v>
      </c>
      <c r="J319" s="12" t="s">
        <v>65</v>
      </c>
      <c r="K319" s="12">
        <v>3.6</v>
      </c>
    </row>
    <row r="320" spans="1:11">
      <c r="A320" s="12" t="s">
        <v>459</v>
      </c>
      <c r="B320" s="12" t="s">
        <v>135</v>
      </c>
      <c r="C320" s="12" t="s">
        <v>10</v>
      </c>
      <c r="D320" s="12" t="s">
        <v>11</v>
      </c>
      <c r="E320" s="12">
        <v>3</v>
      </c>
      <c r="F320" s="12">
        <v>40780</v>
      </c>
      <c r="G320" s="12">
        <f t="shared" si="4"/>
        <v>122340</v>
      </c>
      <c r="H320" s="13">
        <v>46168</v>
      </c>
      <c r="I320" s="12" t="s">
        <v>9</v>
      </c>
      <c r="J320" s="12" t="s">
        <v>43</v>
      </c>
      <c r="K320" s="12">
        <v>3.8</v>
      </c>
    </row>
    <row r="321" spans="1:11">
      <c r="A321" s="12" t="s">
        <v>460</v>
      </c>
      <c r="B321" s="12" t="s">
        <v>104</v>
      </c>
      <c r="C321" s="12" t="s">
        <v>15</v>
      </c>
      <c r="D321" s="12" t="s">
        <v>7</v>
      </c>
      <c r="E321" s="12">
        <v>1</v>
      </c>
      <c r="F321" s="12">
        <v>19006</v>
      </c>
      <c r="G321" s="12">
        <f t="shared" si="4"/>
        <v>19006</v>
      </c>
      <c r="H321" s="13">
        <v>46041</v>
      </c>
      <c r="I321" s="12" t="s">
        <v>74</v>
      </c>
      <c r="J321" s="12" t="s">
        <v>40</v>
      </c>
      <c r="K321" s="12">
        <v>5</v>
      </c>
    </row>
    <row r="322" spans="1:11">
      <c r="A322" s="12" t="s">
        <v>461</v>
      </c>
      <c r="B322" s="12" t="s">
        <v>25</v>
      </c>
      <c r="C322" s="12" t="s">
        <v>10</v>
      </c>
      <c r="D322" s="12" t="s">
        <v>11</v>
      </c>
      <c r="E322" s="12">
        <v>3</v>
      </c>
      <c r="F322" s="12">
        <v>45126</v>
      </c>
      <c r="G322" s="12">
        <f t="shared" si="4"/>
        <v>135378</v>
      </c>
      <c r="H322" s="13">
        <v>46044</v>
      </c>
      <c r="I322" s="12" t="s">
        <v>74</v>
      </c>
      <c r="J322" s="12" t="s">
        <v>43</v>
      </c>
      <c r="K322" s="12">
        <v>3.2</v>
      </c>
    </row>
    <row r="323" spans="1:11">
      <c r="A323" s="12" t="s">
        <v>462</v>
      </c>
      <c r="B323" s="12" t="s">
        <v>34</v>
      </c>
      <c r="C323" s="12" t="s">
        <v>12</v>
      </c>
      <c r="D323" s="12" t="s">
        <v>7</v>
      </c>
      <c r="E323" s="12">
        <v>3</v>
      </c>
      <c r="F323" s="12">
        <v>9313</v>
      </c>
      <c r="G323" s="12">
        <f t="shared" ref="G323:G386" si="5">SUM(F323*E323)</f>
        <v>27939</v>
      </c>
      <c r="H323" s="13">
        <v>46029</v>
      </c>
      <c r="I323" s="12" t="s">
        <v>9</v>
      </c>
      <c r="J323" s="12" t="s">
        <v>8</v>
      </c>
      <c r="K323" s="12">
        <v>3.8</v>
      </c>
    </row>
    <row r="324" spans="1:11">
      <c r="A324" s="12" t="s">
        <v>463</v>
      </c>
      <c r="B324" s="12" t="s">
        <v>235</v>
      </c>
      <c r="C324" s="12" t="s">
        <v>52</v>
      </c>
      <c r="D324" s="12" t="s">
        <v>11</v>
      </c>
      <c r="E324" s="12">
        <v>4</v>
      </c>
      <c r="F324" s="12">
        <v>7313</v>
      </c>
      <c r="G324" s="12">
        <f t="shared" si="5"/>
        <v>29252</v>
      </c>
      <c r="H324" s="13">
        <v>46080</v>
      </c>
      <c r="I324" s="12" t="s">
        <v>27</v>
      </c>
      <c r="J324" s="12" t="s">
        <v>8</v>
      </c>
      <c r="K324" s="12">
        <v>4.0999999999999996</v>
      </c>
    </row>
    <row r="325" spans="1:11">
      <c r="A325" s="12" t="s">
        <v>464</v>
      </c>
      <c r="B325" s="12" t="s">
        <v>69</v>
      </c>
      <c r="C325" s="12" t="s">
        <v>79</v>
      </c>
      <c r="D325" s="12" t="s">
        <v>80</v>
      </c>
      <c r="E325" s="12">
        <v>5</v>
      </c>
      <c r="F325" s="12">
        <v>14042</v>
      </c>
      <c r="G325" s="12">
        <f t="shared" si="5"/>
        <v>70210</v>
      </c>
      <c r="H325" s="13">
        <v>46153</v>
      </c>
      <c r="I325" s="12" t="s">
        <v>27</v>
      </c>
      <c r="J325" s="12" t="s">
        <v>8</v>
      </c>
      <c r="K325" s="12">
        <v>3.7</v>
      </c>
    </row>
    <row r="326" spans="1:11">
      <c r="A326" s="12" t="s">
        <v>465</v>
      </c>
      <c r="B326" s="12" t="s">
        <v>372</v>
      </c>
      <c r="C326" s="12" t="s">
        <v>15</v>
      </c>
      <c r="D326" s="12" t="s">
        <v>7</v>
      </c>
      <c r="E326" s="12">
        <v>3</v>
      </c>
      <c r="F326" s="12">
        <v>24395</v>
      </c>
      <c r="G326" s="12">
        <f t="shared" si="5"/>
        <v>73185</v>
      </c>
      <c r="H326" s="13">
        <v>46086</v>
      </c>
      <c r="I326" s="12" t="s">
        <v>74</v>
      </c>
      <c r="J326" s="12" t="s">
        <v>8</v>
      </c>
      <c r="K326" s="12">
        <v>3.9</v>
      </c>
    </row>
    <row r="327" spans="1:11">
      <c r="A327" s="12" t="s">
        <v>466</v>
      </c>
      <c r="B327" s="12" t="s">
        <v>141</v>
      </c>
      <c r="C327" s="12" t="s">
        <v>59</v>
      </c>
      <c r="D327" s="12" t="s">
        <v>7</v>
      </c>
      <c r="E327" s="12">
        <v>1</v>
      </c>
      <c r="F327" s="12">
        <v>36570</v>
      </c>
      <c r="G327" s="12">
        <f t="shared" si="5"/>
        <v>36570</v>
      </c>
      <c r="H327" s="13">
        <v>46035</v>
      </c>
      <c r="I327" s="12" t="s">
        <v>74</v>
      </c>
      <c r="J327" s="12" t="s">
        <v>40</v>
      </c>
      <c r="K327" s="12">
        <v>4.9000000000000004</v>
      </c>
    </row>
    <row r="328" spans="1:11">
      <c r="A328" s="12" t="s">
        <v>467</v>
      </c>
      <c r="B328" s="12" t="s">
        <v>235</v>
      </c>
      <c r="C328" s="12" t="s">
        <v>15</v>
      </c>
      <c r="D328" s="12" t="s">
        <v>7</v>
      </c>
      <c r="E328" s="12">
        <v>5</v>
      </c>
      <c r="F328" s="12">
        <v>6843</v>
      </c>
      <c r="G328" s="12">
        <f t="shared" si="5"/>
        <v>34215</v>
      </c>
      <c r="H328" s="13">
        <v>46125</v>
      </c>
      <c r="I328" s="12" t="s">
        <v>64</v>
      </c>
      <c r="J328" s="12" t="s">
        <v>40</v>
      </c>
      <c r="K328" s="12">
        <v>4</v>
      </c>
    </row>
    <row r="329" spans="1:11">
      <c r="A329" s="12" t="s">
        <v>468</v>
      </c>
      <c r="B329" s="12" t="s">
        <v>91</v>
      </c>
      <c r="C329" s="12" t="s">
        <v>105</v>
      </c>
      <c r="D329" s="12" t="s">
        <v>106</v>
      </c>
      <c r="E329" s="12">
        <v>3</v>
      </c>
      <c r="F329" s="12">
        <v>5228</v>
      </c>
      <c r="G329" s="12">
        <f t="shared" si="5"/>
        <v>15684</v>
      </c>
      <c r="H329" s="13">
        <v>46131</v>
      </c>
      <c r="I329" s="12" t="s">
        <v>74</v>
      </c>
      <c r="J329" s="12" t="s">
        <v>8</v>
      </c>
      <c r="K329" s="12">
        <v>3.8</v>
      </c>
    </row>
    <row r="330" spans="1:11">
      <c r="A330" s="12" t="s">
        <v>469</v>
      </c>
      <c r="B330" s="12" t="s">
        <v>167</v>
      </c>
      <c r="C330" s="12" t="s">
        <v>12</v>
      </c>
      <c r="D330" s="12" t="s">
        <v>7</v>
      </c>
      <c r="E330" s="12">
        <v>1</v>
      </c>
      <c r="F330" s="12">
        <v>49557</v>
      </c>
      <c r="G330" s="12">
        <f t="shared" si="5"/>
        <v>49557</v>
      </c>
      <c r="H330" s="13">
        <v>46051</v>
      </c>
      <c r="I330" s="12" t="s">
        <v>64</v>
      </c>
      <c r="J330" s="12" t="s">
        <v>8</v>
      </c>
      <c r="K330" s="12">
        <v>4.8</v>
      </c>
    </row>
    <row r="331" spans="1:11">
      <c r="A331" s="12" t="s">
        <v>470</v>
      </c>
      <c r="B331" s="12" t="s">
        <v>190</v>
      </c>
      <c r="C331" s="12" t="s">
        <v>12</v>
      </c>
      <c r="D331" s="12" t="s">
        <v>7</v>
      </c>
      <c r="E331" s="12">
        <v>4</v>
      </c>
      <c r="F331" s="12">
        <v>24124</v>
      </c>
      <c r="G331" s="12">
        <f t="shared" si="5"/>
        <v>96496</v>
      </c>
      <c r="H331" s="13">
        <v>46137</v>
      </c>
      <c r="I331" s="12" t="s">
        <v>27</v>
      </c>
      <c r="J331" s="12" t="s">
        <v>43</v>
      </c>
      <c r="K331" s="12">
        <v>3.1</v>
      </c>
    </row>
    <row r="332" spans="1:11">
      <c r="A332" s="12" t="s">
        <v>471</v>
      </c>
      <c r="B332" s="12" t="s">
        <v>71</v>
      </c>
      <c r="C332" s="12" t="s">
        <v>10</v>
      </c>
      <c r="D332" s="12" t="s">
        <v>11</v>
      </c>
      <c r="E332" s="12">
        <v>3</v>
      </c>
      <c r="F332" s="12">
        <v>33649</v>
      </c>
      <c r="G332" s="12">
        <f t="shared" si="5"/>
        <v>100947</v>
      </c>
      <c r="H332" s="13">
        <v>46093</v>
      </c>
      <c r="I332" s="12" t="s">
        <v>27</v>
      </c>
      <c r="J332" s="12" t="s">
        <v>65</v>
      </c>
      <c r="K332" s="12">
        <v>3.6</v>
      </c>
    </row>
    <row r="333" spans="1:11">
      <c r="A333" s="12" t="s">
        <v>472</v>
      </c>
      <c r="B333" s="12" t="s">
        <v>167</v>
      </c>
      <c r="C333" s="12" t="s">
        <v>55</v>
      </c>
      <c r="D333" s="12" t="s">
        <v>56</v>
      </c>
      <c r="E333" s="12">
        <v>3</v>
      </c>
      <c r="F333" s="12">
        <v>28834</v>
      </c>
      <c r="G333" s="12">
        <f t="shared" si="5"/>
        <v>86502</v>
      </c>
      <c r="H333" s="13">
        <v>46037</v>
      </c>
      <c r="I333" s="12" t="s">
        <v>27</v>
      </c>
      <c r="J333" s="12" t="s">
        <v>65</v>
      </c>
      <c r="K333" s="12">
        <v>3.9</v>
      </c>
    </row>
    <row r="334" spans="1:11">
      <c r="A334" s="12" t="s">
        <v>473</v>
      </c>
      <c r="B334" s="12" t="s">
        <v>193</v>
      </c>
      <c r="C334" s="12" t="s">
        <v>55</v>
      </c>
      <c r="D334" s="12" t="s">
        <v>56</v>
      </c>
      <c r="E334" s="12">
        <v>2</v>
      </c>
      <c r="F334" s="12">
        <v>7948</v>
      </c>
      <c r="G334" s="12">
        <f t="shared" si="5"/>
        <v>15896</v>
      </c>
      <c r="H334" s="13">
        <v>46061</v>
      </c>
      <c r="I334" s="12" t="s">
        <v>35</v>
      </c>
      <c r="J334" s="12" t="s">
        <v>40</v>
      </c>
      <c r="K334" s="12">
        <v>3.9</v>
      </c>
    </row>
    <row r="335" spans="1:11">
      <c r="A335" s="12" t="s">
        <v>474</v>
      </c>
      <c r="B335" s="12" t="s">
        <v>144</v>
      </c>
      <c r="C335" s="12" t="s">
        <v>10</v>
      </c>
      <c r="D335" s="12" t="s">
        <v>11</v>
      </c>
      <c r="E335" s="12">
        <v>4</v>
      </c>
      <c r="F335" s="12">
        <v>36390</v>
      </c>
      <c r="G335" s="12">
        <f t="shared" si="5"/>
        <v>145560</v>
      </c>
      <c r="H335" s="13">
        <v>46027</v>
      </c>
      <c r="I335" s="12" t="s">
        <v>35</v>
      </c>
      <c r="J335" s="12" t="s">
        <v>30</v>
      </c>
      <c r="K335" s="12">
        <v>3.3</v>
      </c>
    </row>
    <row r="336" spans="1:11">
      <c r="A336" s="12" t="s">
        <v>475</v>
      </c>
      <c r="B336" s="12" t="s">
        <v>39</v>
      </c>
      <c r="C336" s="12" t="s">
        <v>52</v>
      </c>
      <c r="D336" s="12" t="s">
        <v>11</v>
      </c>
      <c r="E336" s="12">
        <v>5</v>
      </c>
      <c r="F336" s="12">
        <v>12884</v>
      </c>
      <c r="G336" s="12">
        <f t="shared" si="5"/>
        <v>64420</v>
      </c>
      <c r="H336" s="13">
        <v>46081</v>
      </c>
      <c r="I336" s="12" t="s">
        <v>46</v>
      </c>
      <c r="J336" s="12" t="s">
        <v>65</v>
      </c>
      <c r="K336" s="12">
        <v>3.7</v>
      </c>
    </row>
    <row r="337" spans="1:11">
      <c r="A337" s="12" t="s">
        <v>476</v>
      </c>
      <c r="B337" s="12" t="s">
        <v>144</v>
      </c>
      <c r="C337" s="12" t="s">
        <v>79</v>
      </c>
      <c r="D337" s="12" t="s">
        <v>80</v>
      </c>
      <c r="E337" s="12">
        <v>2</v>
      </c>
      <c r="F337" s="12">
        <v>44267</v>
      </c>
      <c r="G337" s="12">
        <f t="shared" si="5"/>
        <v>88534</v>
      </c>
      <c r="H337" s="13">
        <v>46032</v>
      </c>
      <c r="I337" s="12" t="s">
        <v>49</v>
      </c>
      <c r="J337" s="12" t="s">
        <v>30</v>
      </c>
      <c r="K337" s="12">
        <v>4.7</v>
      </c>
    </row>
    <row r="338" spans="1:11">
      <c r="A338" s="12" t="s">
        <v>477</v>
      </c>
      <c r="B338" s="12" t="s">
        <v>34</v>
      </c>
      <c r="C338" s="12" t="s">
        <v>13</v>
      </c>
      <c r="D338" s="12" t="s">
        <v>14</v>
      </c>
      <c r="E338" s="12">
        <v>1</v>
      </c>
      <c r="F338" s="12">
        <v>44442</v>
      </c>
      <c r="G338" s="12">
        <f t="shared" si="5"/>
        <v>44442</v>
      </c>
      <c r="H338" s="13">
        <v>46046</v>
      </c>
      <c r="I338" s="12" t="s">
        <v>35</v>
      </c>
      <c r="J338" s="12" t="s">
        <v>30</v>
      </c>
      <c r="K338" s="12">
        <v>4</v>
      </c>
    </row>
    <row r="339" spans="1:11">
      <c r="A339" s="12" t="s">
        <v>478</v>
      </c>
      <c r="B339" s="12" t="s">
        <v>372</v>
      </c>
      <c r="C339" s="12" t="s">
        <v>12</v>
      </c>
      <c r="D339" s="12" t="s">
        <v>7</v>
      </c>
      <c r="E339" s="12">
        <v>5</v>
      </c>
      <c r="F339" s="12">
        <v>28785</v>
      </c>
      <c r="G339" s="12">
        <f t="shared" si="5"/>
        <v>143925</v>
      </c>
      <c r="H339" s="13">
        <v>46073</v>
      </c>
      <c r="I339" s="12" t="s">
        <v>46</v>
      </c>
      <c r="J339" s="12" t="s">
        <v>43</v>
      </c>
      <c r="K339" s="12">
        <v>4.3</v>
      </c>
    </row>
    <row r="340" spans="1:11">
      <c r="A340" s="12" t="s">
        <v>479</v>
      </c>
      <c r="B340" s="12" t="s">
        <v>387</v>
      </c>
      <c r="C340" s="12" t="s">
        <v>12</v>
      </c>
      <c r="D340" s="12" t="s">
        <v>7</v>
      </c>
      <c r="E340" s="12">
        <v>2</v>
      </c>
      <c r="F340" s="12">
        <v>45678</v>
      </c>
      <c r="G340" s="12">
        <f t="shared" si="5"/>
        <v>91356</v>
      </c>
      <c r="H340" s="13">
        <v>46057</v>
      </c>
      <c r="I340" s="12" t="s">
        <v>27</v>
      </c>
      <c r="J340" s="12" t="s">
        <v>30</v>
      </c>
      <c r="K340" s="12">
        <v>5</v>
      </c>
    </row>
    <row r="341" spans="1:11">
      <c r="A341" s="12" t="s">
        <v>480</v>
      </c>
      <c r="B341" s="12" t="s">
        <v>205</v>
      </c>
      <c r="C341" s="12" t="s">
        <v>12</v>
      </c>
      <c r="D341" s="12" t="s">
        <v>7</v>
      </c>
      <c r="E341" s="12">
        <v>5</v>
      </c>
      <c r="F341" s="12">
        <v>11114</v>
      </c>
      <c r="G341" s="12">
        <f t="shared" si="5"/>
        <v>55570</v>
      </c>
      <c r="H341" s="13">
        <v>46192</v>
      </c>
      <c r="I341" s="12" t="s">
        <v>35</v>
      </c>
      <c r="J341" s="12" t="s">
        <v>65</v>
      </c>
      <c r="K341" s="12">
        <v>3.5</v>
      </c>
    </row>
    <row r="342" spans="1:11">
      <c r="A342" s="12" t="s">
        <v>481</v>
      </c>
      <c r="B342" s="12" t="s">
        <v>348</v>
      </c>
      <c r="C342" s="12" t="s">
        <v>59</v>
      </c>
      <c r="D342" s="12" t="s">
        <v>7</v>
      </c>
      <c r="E342" s="12">
        <v>2</v>
      </c>
      <c r="F342" s="12">
        <v>45725</v>
      </c>
      <c r="G342" s="12">
        <f t="shared" si="5"/>
        <v>91450</v>
      </c>
      <c r="H342" s="13">
        <v>46061</v>
      </c>
      <c r="I342" s="12" t="s">
        <v>9</v>
      </c>
      <c r="J342" s="12" t="s">
        <v>8</v>
      </c>
      <c r="K342" s="12">
        <v>3</v>
      </c>
    </row>
    <row r="343" spans="1:11">
      <c r="A343" s="12" t="s">
        <v>482</v>
      </c>
      <c r="B343" s="12" t="s">
        <v>175</v>
      </c>
      <c r="C343" s="12" t="s">
        <v>52</v>
      </c>
      <c r="D343" s="12" t="s">
        <v>11</v>
      </c>
      <c r="E343" s="12">
        <v>4</v>
      </c>
      <c r="F343" s="12">
        <v>29147</v>
      </c>
      <c r="G343" s="12">
        <f t="shared" si="5"/>
        <v>116588</v>
      </c>
      <c r="H343" s="13">
        <v>46078</v>
      </c>
      <c r="I343" s="12" t="s">
        <v>27</v>
      </c>
      <c r="J343" s="12" t="s">
        <v>30</v>
      </c>
      <c r="K343" s="12">
        <v>4.5999999999999996</v>
      </c>
    </row>
    <row r="344" spans="1:11">
      <c r="A344" s="12" t="s">
        <v>483</v>
      </c>
      <c r="B344" s="12" t="s">
        <v>114</v>
      </c>
      <c r="C344" s="12" t="s">
        <v>26</v>
      </c>
      <c r="D344" s="12" t="s">
        <v>7</v>
      </c>
      <c r="E344" s="12">
        <v>3</v>
      </c>
      <c r="F344" s="12">
        <v>43376</v>
      </c>
      <c r="G344" s="12">
        <f t="shared" si="5"/>
        <v>130128</v>
      </c>
      <c r="H344" s="13">
        <v>46131</v>
      </c>
      <c r="I344" s="12" t="s">
        <v>49</v>
      </c>
      <c r="J344" s="12" t="s">
        <v>30</v>
      </c>
      <c r="K344" s="12">
        <v>4.2</v>
      </c>
    </row>
    <row r="345" spans="1:11">
      <c r="A345" s="12" t="s">
        <v>484</v>
      </c>
      <c r="B345" s="12" t="s">
        <v>173</v>
      </c>
      <c r="C345" s="12" t="s">
        <v>59</v>
      </c>
      <c r="D345" s="12" t="s">
        <v>7</v>
      </c>
      <c r="E345" s="12">
        <v>5</v>
      </c>
      <c r="F345" s="12">
        <v>12605</v>
      </c>
      <c r="G345" s="12">
        <f t="shared" si="5"/>
        <v>63025</v>
      </c>
      <c r="H345" s="13">
        <v>46161</v>
      </c>
      <c r="I345" s="12" t="s">
        <v>35</v>
      </c>
      <c r="J345" s="12" t="s">
        <v>65</v>
      </c>
      <c r="K345" s="12">
        <v>3.7</v>
      </c>
    </row>
    <row r="346" spans="1:11">
      <c r="A346" s="12" t="s">
        <v>485</v>
      </c>
      <c r="B346" s="12" t="s">
        <v>78</v>
      </c>
      <c r="C346" s="12" t="s">
        <v>6</v>
      </c>
      <c r="D346" s="12" t="s">
        <v>7</v>
      </c>
      <c r="E346" s="12">
        <v>5</v>
      </c>
      <c r="F346" s="12">
        <v>8176</v>
      </c>
      <c r="G346" s="12">
        <f t="shared" si="5"/>
        <v>40880</v>
      </c>
      <c r="H346" s="13">
        <v>46154</v>
      </c>
      <c r="I346" s="12" t="s">
        <v>74</v>
      </c>
      <c r="J346" s="12" t="s">
        <v>43</v>
      </c>
      <c r="K346" s="12">
        <v>4.7</v>
      </c>
    </row>
    <row r="347" spans="1:11">
      <c r="A347" s="12" t="s">
        <v>486</v>
      </c>
      <c r="B347" s="12" t="s">
        <v>104</v>
      </c>
      <c r="C347" s="12" t="s">
        <v>16</v>
      </c>
      <c r="D347" s="12" t="s">
        <v>14</v>
      </c>
      <c r="E347" s="12">
        <v>3</v>
      </c>
      <c r="F347" s="12">
        <v>14780</v>
      </c>
      <c r="G347" s="12">
        <f t="shared" si="5"/>
        <v>44340</v>
      </c>
      <c r="H347" s="13">
        <v>46047</v>
      </c>
      <c r="I347" s="12" t="s">
        <v>49</v>
      </c>
      <c r="J347" s="12" t="s">
        <v>8</v>
      </c>
      <c r="K347" s="12">
        <v>4.0999999999999996</v>
      </c>
    </row>
    <row r="348" spans="1:11">
      <c r="A348" s="12" t="s">
        <v>487</v>
      </c>
      <c r="B348" s="12" t="s">
        <v>190</v>
      </c>
      <c r="C348" s="12" t="s">
        <v>16</v>
      </c>
      <c r="D348" s="12" t="s">
        <v>14</v>
      </c>
      <c r="E348" s="12">
        <v>1</v>
      </c>
      <c r="F348" s="12">
        <v>2093</v>
      </c>
      <c r="G348" s="12">
        <f t="shared" si="5"/>
        <v>2093</v>
      </c>
      <c r="H348" s="13">
        <v>46156</v>
      </c>
      <c r="I348" s="12" t="s">
        <v>49</v>
      </c>
      <c r="J348" s="12" t="s">
        <v>8</v>
      </c>
      <c r="K348" s="12">
        <v>3.4</v>
      </c>
    </row>
    <row r="349" spans="1:11">
      <c r="A349" s="12" t="s">
        <v>488</v>
      </c>
      <c r="B349" s="12" t="s">
        <v>300</v>
      </c>
      <c r="C349" s="12" t="s">
        <v>59</v>
      </c>
      <c r="D349" s="12" t="s">
        <v>7</v>
      </c>
      <c r="E349" s="12">
        <v>4</v>
      </c>
      <c r="F349" s="12">
        <v>15890</v>
      </c>
      <c r="G349" s="12">
        <f t="shared" si="5"/>
        <v>63560</v>
      </c>
      <c r="H349" s="13">
        <v>46033</v>
      </c>
      <c r="I349" s="12" t="s">
        <v>35</v>
      </c>
      <c r="J349" s="12" t="s">
        <v>40</v>
      </c>
      <c r="K349" s="12">
        <v>4.5999999999999996</v>
      </c>
    </row>
    <row r="350" spans="1:11">
      <c r="A350" s="12" t="s">
        <v>489</v>
      </c>
      <c r="B350" s="12" t="s">
        <v>95</v>
      </c>
      <c r="C350" s="12" t="s">
        <v>59</v>
      </c>
      <c r="D350" s="12" t="s">
        <v>7</v>
      </c>
      <c r="E350" s="12">
        <v>4</v>
      </c>
      <c r="F350" s="12">
        <v>41114</v>
      </c>
      <c r="G350" s="12">
        <f t="shared" si="5"/>
        <v>164456</v>
      </c>
      <c r="H350" s="13">
        <v>46054</v>
      </c>
      <c r="I350" s="12" t="s">
        <v>9</v>
      </c>
      <c r="J350" s="12" t="s">
        <v>65</v>
      </c>
      <c r="K350" s="12">
        <v>3.4</v>
      </c>
    </row>
    <row r="351" spans="1:11">
      <c r="A351" s="12" t="s">
        <v>490</v>
      </c>
      <c r="B351" s="12" t="s">
        <v>102</v>
      </c>
      <c r="C351" s="12" t="s">
        <v>13</v>
      </c>
      <c r="D351" s="12" t="s">
        <v>14</v>
      </c>
      <c r="E351" s="12">
        <v>3</v>
      </c>
      <c r="F351" s="12">
        <v>26102</v>
      </c>
      <c r="G351" s="12">
        <f t="shared" si="5"/>
        <v>78306</v>
      </c>
      <c r="H351" s="13">
        <v>46183</v>
      </c>
      <c r="I351" s="12" t="s">
        <v>9</v>
      </c>
      <c r="J351" s="12" t="s">
        <v>65</v>
      </c>
      <c r="K351" s="12">
        <v>3.9</v>
      </c>
    </row>
    <row r="352" spans="1:11">
      <c r="A352" s="12" t="s">
        <v>491</v>
      </c>
      <c r="B352" s="12" t="s">
        <v>37</v>
      </c>
      <c r="C352" s="12" t="s">
        <v>59</v>
      </c>
      <c r="D352" s="12" t="s">
        <v>7</v>
      </c>
      <c r="E352" s="12">
        <v>5</v>
      </c>
      <c r="F352" s="12">
        <v>41794</v>
      </c>
      <c r="G352" s="12">
        <f t="shared" si="5"/>
        <v>208970</v>
      </c>
      <c r="H352" s="13">
        <v>46074</v>
      </c>
      <c r="I352" s="12" t="s">
        <v>46</v>
      </c>
      <c r="J352" s="12" t="s">
        <v>43</v>
      </c>
      <c r="K352" s="12">
        <v>3.5</v>
      </c>
    </row>
    <row r="353" spans="1:11">
      <c r="A353" s="12" t="s">
        <v>492</v>
      </c>
      <c r="B353" s="12" t="s">
        <v>264</v>
      </c>
      <c r="C353" s="12" t="s">
        <v>12</v>
      </c>
      <c r="D353" s="12" t="s">
        <v>7</v>
      </c>
      <c r="E353" s="12">
        <v>2</v>
      </c>
      <c r="F353" s="12">
        <v>34991</v>
      </c>
      <c r="G353" s="12">
        <f t="shared" si="5"/>
        <v>69982</v>
      </c>
      <c r="H353" s="13">
        <v>46185</v>
      </c>
      <c r="I353" s="12" t="s">
        <v>27</v>
      </c>
      <c r="J353" s="12" t="s">
        <v>8</v>
      </c>
      <c r="K353" s="12">
        <v>4.0999999999999996</v>
      </c>
    </row>
    <row r="354" spans="1:11">
      <c r="A354" s="12" t="s">
        <v>493</v>
      </c>
      <c r="B354" s="12" t="s">
        <v>95</v>
      </c>
      <c r="C354" s="12" t="s">
        <v>52</v>
      </c>
      <c r="D354" s="12" t="s">
        <v>11</v>
      </c>
      <c r="E354" s="12">
        <v>2</v>
      </c>
      <c r="F354" s="12">
        <v>23233</v>
      </c>
      <c r="G354" s="12">
        <f t="shared" si="5"/>
        <v>46466</v>
      </c>
      <c r="H354" s="13">
        <v>46151</v>
      </c>
      <c r="I354" s="12" t="s">
        <v>74</v>
      </c>
      <c r="J354" s="12" t="s">
        <v>30</v>
      </c>
      <c r="K354" s="12">
        <v>4.8</v>
      </c>
    </row>
    <row r="355" spans="1:11">
      <c r="A355" s="12" t="s">
        <v>494</v>
      </c>
      <c r="B355" s="12" t="s">
        <v>264</v>
      </c>
      <c r="C355" s="12" t="s">
        <v>13</v>
      </c>
      <c r="D355" s="12" t="s">
        <v>14</v>
      </c>
      <c r="E355" s="12">
        <v>5</v>
      </c>
      <c r="F355" s="12">
        <v>41762</v>
      </c>
      <c r="G355" s="12">
        <f t="shared" si="5"/>
        <v>208810</v>
      </c>
      <c r="H355" s="13">
        <v>46085</v>
      </c>
      <c r="I355" s="12" t="s">
        <v>64</v>
      </c>
      <c r="J355" s="12" t="s">
        <v>65</v>
      </c>
      <c r="K355" s="12">
        <v>3.1</v>
      </c>
    </row>
    <row r="356" spans="1:11">
      <c r="A356" s="12" t="s">
        <v>495</v>
      </c>
      <c r="B356" s="12" t="s">
        <v>39</v>
      </c>
      <c r="C356" s="12" t="s">
        <v>12</v>
      </c>
      <c r="D356" s="12" t="s">
        <v>7</v>
      </c>
      <c r="E356" s="12">
        <v>4</v>
      </c>
      <c r="F356" s="12">
        <v>24608</v>
      </c>
      <c r="G356" s="12">
        <f t="shared" si="5"/>
        <v>98432</v>
      </c>
      <c r="H356" s="13">
        <v>46074</v>
      </c>
      <c r="I356" s="12" t="s">
        <v>27</v>
      </c>
      <c r="J356" s="12" t="s">
        <v>8</v>
      </c>
      <c r="K356" s="12">
        <v>3.2</v>
      </c>
    </row>
    <row r="357" spans="1:11">
      <c r="A357" s="12" t="s">
        <v>496</v>
      </c>
      <c r="B357" s="12" t="s">
        <v>150</v>
      </c>
      <c r="C357" s="12" t="s">
        <v>12</v>
      </c>
      <c r="D357" s="12" t="s">
        <v>7</v>
      </c>
      <c r="E357" s="12">
        <v>5</v>
      </c>
      <c r="F357" s="12">
        <v>30407</v>
      </c>
      <c r="G357" s="12">
        <f t="shared" si="5"/>
        <v>152035</v>
      </c>
      <c r="H357" s="13">
        <v>46044</v>
      </c>
      <c r="I357" s="12" t="s">
        <v>64</v>
      </c>
      <c r="J357" s="12" t="s">
        <v>40</v>
      </c>
      <c r="K357" s="12">
        <v>4.9000000000000004</v>
      </c>
    </row>
    <row r="358" spans="1:11">
      <c r="A358" s="12" t="s">
        <v>497</v>
      </c>
      <c r="B358" s="12" t="s">
        <v>193</v>
      </c>
      <c r="C358" s="12" t="s">
        <v>52</v>
      </c>
      <c r="D358" s="12" t="s">
        <v>11</v>
      </c>
      <c r="E358" s="12">
        <v>5</v>
      </c>
      <c r="F358" s="12">
        <v>47263</v>
      </c>
      <c r="G358" s="12">
        <f t="shared" si="5"/>
        <v>236315</v>
      </c>
      <c r="H358" s="13">
        <v>46034</v>
      </c>
      <c r="I358" s="12" t="s">
        <v>74</v>
      </c>
      <c r="J358" s="12" t="s">
        <v>43</v>
      </c>
      <c r="K358" s="12">
        <v>4.2</v>
      </c>
    </row>
    <row r="359" spans="1:11">
      <c r="A359" s="12" t="s">
        <v>498</v>
      </c>
      <c r="B359" s="12" t="s">
        <v>170</v>
      </c>
      <c r="C359" s="12" t="s">
        <v>79</v>
      </c>
      <c r="D359" s="12" t="s">
        <v>80</v>
      </c>
      <c r="E359" s="12">
        <v>5</v>
      </c>
      <c r="F359" s="12">
        <v>41861</v>
      </c>
      <c r="G359" s="12">
        <f t="shared" si="5"/>
        <v>209305</v>
      </c>
      <c r="H359" s="13">
        <v>46142</v>
      </c>
      <c r="I359" s="12" t="s">
        <v>27</v>
      </c>
      <c r="J359" s="12" t="s">
        <v>43</v>
      </c>
      <c r="K359" s="12">
        <v>4.5999999999999996</v>
      </c>
    </row>
    <row r="360" spans="1:11">
      <c r="A360" s="12" t="s">
        <v>499</v>
      </c>
      <c r="B360" s="12" t="s">
        <v>264</v>
      </c>
      <c r="C360" s="12" t="s">
        <v>16</v>
      </c>
      <c r="D360" s="12" t="s">
        <v>14</v>
      </c>
      <c r="E360" s="12">
        <v>5</v>
      </c>
      <c r="F360" s="12">
        <v>15652</v>
      </c>
      <c r="G360" s="12">
        <f t="shared" si="5"/>
        <v>78260</v>
      </c>
      <c r="H360" s="13">
        <v>46073</v>
      </c>
      <c r="I360" s="12" t="s">
        <v>74</v>
      </c>
      <c r="J360" s="12" t="s">
        <v>65</v>
      </c>
      <c r="K360" s="12">
        <v>4.7</v>
      </c>
    </row>
    <row r="361" spans="1:11">
      <c r="A361" s="12" t="s">
        <v>500</v>
      </c>
      <c r="B361" s="12" t="s">
        <v>93</v>
      </c>
      <c r="C361" s="12" t="s">
        <v>52</v>
      </c>
      <c r="D361" s="12" t="s">
        <v>11</v>
      </c>
      <c r="E361" s="12">
        <v>4</v>
      </c>
      <c r="F361" s="12">
        <v>10707</v>
      </c>
      <c r="G361" s="12">
        <f t="shared" si="5"/>
        <v>42828</v>
      </c>
      <c r="H361" s="13">
        <v>46098</v>
      </c>
      <c r="I361" s="12" t="s">
        <v>46</v>
      </c>
      <c r="J361" s="12" t="s">
        <v>40</v>
      </c>
      <c r="K361" s="12">
        <v>3.3</v>
      </c>
    </row>
    <row r="362" spans="1:11">
      <c r="A362" s="12" t="s">
        <v>501</v>
      </c>
      <c r="B362" s="12" t="s">
        <v>372</v>
      </c>
      <c r="C362" s="12" t="s">
        <v>105</v>
      </c>
      <c r="D362" s="12" t="s">
        <v>106</v>
      </c>
      <c r="E362" s="12">
        <v>4</v>
      </c>
      <c r="F362" s="12">
        <v>5204</v>
      </c>
      <c r="G362" s="12">
        <f t="shared" si="5"/>
        <v>20816</v>
      </c>
      <c r="H362" s="13">
        <v>46131</v>
      </c>
      <c r="I362" s="12" t="s">
        <v>27</v>
      </c>
      <c r="J362" s="12" t="s">
        <v>40</v>
      </c>
      <c r="K362" s="12">
        <v>3.5</v>
      </c>
    </row>
    <row r="363" spans="1:11">
      <c r="A363" s="12" t="s">
        <v>502</v>
      </c>
      <c r="B363" s="12" t="s">
        <v>199</v>
      </c>
      <c r="C363" s="12" t="s">
        <v>79</v>
      </c>
      <c r="D363" s="12" t="s">
        <v>80</v>
      </c>
      <c r="E363" s="12">
        <v>4</v>
      </c>
      <c r="F363" s="12">
        <v>12001</v>
      </c>
      <c r="G363" s="12">
        <f t="shared" si="5"/>
        <v>48004</v>
      </c>
      <c r="H363" s="13">
        <v>46090</v>
      </c>
      <c r="I363" s="12" t="s">
        <v>9</v>
      </c>
      <c r="J363" s="12" t="s">
        <v>30</v>
      </c>
      <c r="K363" s="12">
        <v>4.2</v>
      </c>
    </row>
    <row r="364" spans="1:11">
      <c r="A364" s="12" t="s">
        <v>503</v>
      </c>
      <c r="B364" s="12" t="s">
        <v>112</v>
      </c>
      <c r="C364" s="12" t="s">
        <v>10</v>
      </c>
      <c r="D364" s="12" t="s">
        <v>11</v>
      </c>
      <c r="E364" s="12">
        <v>5</v>
      </c>
      <c r="F364" s="12">
        <v>30365</v>
      </c>
      <c r="G364" s="12">
        <f t="shared" si="5"/>
        <v>151825</v>
      </c>
      <c r="H364" s="13">
        <v>46189</v>
      </c>
      <c r="I364" s="12" t="s">
        <v>35</v>
      </c>
      <c r="J364" s="12" t="s">
        <v>40</v>
      </c>
      <c r="K364" s="12">
        <v>3.4</v>
      </c>
    </row>
    <row r="365" spans="1:11">
      <c r="A365" s="12" t="s">
        <v>504</v>
      </c>
      <c r="B365" s="12" t="s">
        <v>84</v>
      </c>
      <c r="C365" s="12" t="s">
        <v>105</v>
      </c>
      <c r="D365" s="12" t="s">
        <v>106</v>
      </c>
      <c r="E365" s="12">
        <v>4</v>
      </c>
      <c r="F365" s="12">
        <v>11361</v>
      </c>
      <c r="G365" s="12">
        <f t="shared" si="5"/>
        <v>45444</v>
      </c>
      <c r="H365" s="13">
        <v>46186</v>
      </c>
      <c r="I365" s="12" t="s">
        <v>49</v>
      </c>
      <c r="J365" s="12" t="s">
        <v>43</v>
      </c>
      <c r="K365" s="12">
        <v>3</v>
      </c>
    </row>
    <row r="366" spans="1:11">
      <c r="A366" s="12" t="s">
        <v>505</v>
      </c>
      <c r="B366" s="12" t="s">
        <v>178</v>
      </c>
      <c r="C366" s="12" t="s">
        <v>15</v>
      </c>
      <c r="D366" s="12" t="s">
        <v>7</v>
      </c>
      <c r="E366" s="12">
        <v>2</v>
      </c>
      <c r="F366" s="12">
        <v>40679</v>
      </c>
      <c r="G366" s="12">
        <f t="shared" si="5"/>
        <v>81358</v>
      </c>
      <c r="H366" s="13">
        <v>46077</v>
      </c>
      <c r="I366" s="12" t="s">
        <v>35</v>
      </c>
      <c r="J366" s="12" t="s">
        <v>65</v>
      </c>
      <c r="K366" s="12">
        <v>4.5</v>
      </c>
    </row>
    <row r="367" spans="1:11">
      <c r="A367" s="12" t="s">
        <v>506</v>
      </c>
      <c r="B367" s="12" t="s">
        <v>51</v>
      </c>
      <c r="C367" s="12" t="s">
        <v>52</v>
      </c>
      <c r="D367" s="12" t="s">
        <v>11</v>
      </c>
      <c r="E367" s="12">
        <v>1</v>
      </c>
      <c r="F367" s="12">
        <v>22600</v>
      </c>
      <c r="G367" s="12">
        <f t="shared" si="5"/>
        <v>22600</v>
      </c>
      <c r="H367" s="13">
        <v>46150</v>
      </c>
      <c r="I367" s="12" t="s">
        <v>74</v>
      </c>
      <c r="J367" s="12" t="s">
        <v>40</v>
      </c>
      <c r="K367" s="12">
        <v>4.7</v>
      </c>
    </row>
    <row r="368" spans="1:11">
      <c r="A368" s="12" t="s">
        <v>507</v>
      </c>
      <c r="B368" s="12" t="s">
        <v>264</v>
      </c>
      <c r="C368" s="12" t="s">
        <v>16</v>
      </c>
      <c r="D368" s="12" t="s">
        <v>14</v>
      </c>
      <c r="E368" s="12">
        <v>2</v>
      </c>
      <c r="F368" s="12">
        <v>37047</v>
      </c>
      <c r="G368" s="12">
        <f t="shared" si="5"/>
        <v>74094</v>
      </c>
      <c r="H368" s="13">
        <v>46154</v>
      </c>
      <c r="I368" s="12" t="s">
        <v>35</v>
      </c>
      <c r="J368" s="12" t="s">
        <v>8</v>
      </c>
      <c r="K368" s="12">
        <v>4</v>
      </c>
    </row>
    <row r="369" spans="1:11">
      <c r="A369" s="12" t="s">
        <v>508</v>
      </c>
      <c r="B369" s="12" t="s">
        <v>219</v>
      </c>
      <c r="C369" s="12" t="s">
        <v>26</v>
      </c>
      <c r="D369" s="12" t="s">
        <v>7</v>
      </c>
      <c r="E369" s="12">
        <v>3</v>
      </c>
      <c r="F369" s="12">
        <v>47485</v>
      </c>
      <c r="G369" s="12">
        <f t="shared" si="5"/>
        <v>142455</v>
      </c>
      <c r="H369" s="13">
        <v>46181</v>
      </c>
      <c r="I369" s="12" t="s">
        <v>74</v>
      </c>
      <c r="J369" s="12" t="s">
        <v>8</v>
      </c>
      <c r="K369" s="12">
        <v>4.4000000000000004</v>
      </c>
    </row>
    <row r="370" spans="1:11">
      <c r="A370" s="12" t="s">
        <v>509</v>
      </c>
      <c r="B370" s="12" t="s">
        <v>293</v>
      </c>
      <c r="C370" s="12" t="s">
        <v>13</v>
      </c>
      <c r="D370" s="12" t="s">
        <v>14</v>
      </c>
      <c r="E370" s="12">
        <v>1</v>
      </c>
      <c r="F370" s="12">
        <v>5092</v>
      </c>
      <c r="G370" s="12">
        <f t="shared" si="5"/>
        <v>5092</v>
      </c>
      <c r="H370" s="13">
        <v>46164</v>
      </c>
      <c r="I370" s="12" t="s">
        <v>27</v>
      </c>
      <c r="J370" s="12" t="s">
        <v>40</v>
      </c>
      <c r="K370" s="12">
        <v>4.7</v>
      </c>
    </row>
    <row r="371" spans="1:11">
      <c r="A371" s="12" t="s">
        <v>510</v>
      </c>
      <c r="B371" s="12" t="s">
        <v>376</v>
      </c>
      <c r="C371" s="12" t="s">
        <v>52</v>
      </c>
      <c r="D371" s="12" t="s">
        <v>11</v>
      </c>
      <c r="E371" s="12">
        <v>4</v>
      </c>
      <c r="F371" s="12">
        <v>36764</v>
      </c>
      <c r="G371" s="12">
        <f t="shared" si="5"/>
        <v>147056</v>
      </c>
      <c r="H371" s="13">
        <v>46149</v>
      </c>
      <c r="I371" s="12" t="s">
        <v>46</v>
      </c>
      <c r="J371" s="12" t="s">
        <v>8</v>
      </c>
      <c r="K371" s="12">
        <v>4</v>
      </c>
    </row>
    <row r="372" spans="1:11">
      <c r="A372" s="12" t="s">
        <v>511</v>
      </c>
      <c r="B372" s="12" t="s">
        <v>223</v>
      </c>
      <c r="C372" s="12" t="s">
        <v>105</v>
      </c>
      <c r="D372" s="12" t="s">
        <v>106</v>
      </c>
      <c r="E372" s="12">
        <v>2</v>
      </c>
      <c r="F372" s="12">
        <v>34613</v>
      </c>
      <c r="G372" s="12">
        <f t="shared" si="5"/>
        <v>69226</v>
      </c>
      <c r="H372" s="13">
        <v>46073</v>
      </c>
      <c r="I372" s="12" t="s">
        <v>27</v>
      </c>
      <c r="J372" s="12" t="s">
        <v>43</v>
      </c>
      <c r="K372" s="12">
        <v>3.6</v>
      </c>
    </row>
    <row r="373" spans="1:11">
      <c r="A373" s="12" t="s">
        <v>512</v>
      </c>
      <c r="B373" s="12" t="s">
        <v>150</v>
      </c>
      <c r="C373" s="12" t="s">
        <v>55</v>
      </c>
      <c r="D373" s="12" t="s">
        <v>56</v>
      </c>
      <c r="E373" s="12">
        <v>3</v>
      </c>
      <c r="F373" s="12">
        <v>27936</v>
      </c>
      <c r="G373" s="12">
        <f t="shared" si="5"/>
        <v>83808</v>
      </c>
      <c r="H373" s="13">
        <v>46023</v>
      </c>
      <c r="I373" s="12" t="s">
        <v>74</v>
      </c>
      <c r="J373" s="12" t="s">
        <v>65</v>
      </c>
      <c r="K373" s="12">
        <v>4.4000000000000004</v>
      </c>
    </row>
    <row r="374" spans="1:11">
      <c r="A374" s="12" t="s">
        <v>513</v>
      </c>
      <c r="B374" s="12" t="s">
        <v>205</v>
      </c>
      <c r="C374" s="12" t="s">
        <v>52</v>
      </c>
      <c r="D374" s="12" t="s">
        <v>11</v>
      </c>
      <c r="E374" s="12">
        <v>2</v>
      </c>
      <c r="F374" s="12">
        <v>2947</v>
      </c>
      <c r="G374" s="12">
        <f t="shared" si="5"/>
        <v>5894</v>
      </c>
      <c r="H374" s="13">
        <v>46037</v>
      </c>
      <c r="I374" s="12" t="s">
        <v>35</v>
      </c>
      <c r="J374" s="12" t="s">
        <v>40</v>
      </c>
      <c r="K374" s="12">
        <v>3.5</v>
      </c>
    </row>
    <row r="375" spans="1:11">
      <c r="A375" s="12" t="s">
        <v>514</v>
      </c>
      <c r="B375" s="12" t="s">
        <v>193</v>
      </c>
      <c r="C375" s="12" t="s">
        <v>6</v>
      </c>
      <c r="D375" s="12" t="s">
        <v>7</v>
      </c>
      <c r="E375" s="12">
        <v>2</v>
      </c>
      <c r="F375" s="12">
        <v>49984</v>
      </c>
      <c r="G375" s="12">
        <f t="shared" si="5"/>
        <v>99968</v>
      </c>
      <c r="H375" s="13">
        <v>46185</v>
      </c>
      <c r="I375" s="12" t="s">
        <v>9</v>
      </c>
      <c r="J375" s="12" t="s">
        <v>43</v>
      </c>
      <c r="K375" s="12">
        <v>3.6</v>
      </c>
    </row>
    <row r="376" spans="1:11">
      <c r="A376" s="12" t="s">
        <v>515</v>
      </c>
      <c r="B376" s="12" t="s">
        <v>257</v>
      </c>
      <c r="C376" s="12" t="s">
        <v>10</v>
      </c>
      <c r="D376" s="12" t="s">
        <v>11</v>
      </c>
      <c r="E376" s="12">
        <v>2</v>
      </c>
      <c r="F376" s="12">
        <v>25260</v>
      </c>
      <c r="G376" s="12">
        <f t="shared" si="5"/>
        <v>50520</v>
      </c>
      <c r="H376" s="13">
        <v>46138</v>
      </c>
      <c r="I376" s="12" t="s">
        <v>46</v>
      </c>
      <c r="J376" s="12" t="s">
        <v>30</v>
      </c>
      <c r="K376" s="12">
        <v>4.8</v>
      </c>
    </row>
    <row r="377" spans="1:11">
      <c r="A377" s="12" t="s">
        <v>516</v>
      </c>
      <c r="B377" s="12" t="s">
        <v>273</v>
      </c>
      <c r="C377" s="12" t="s">
        <v>79</v>
      </c>
      <c r="D377" s="12" t="s">
        <v>80</v>
      </c>
      <c r="E377" s="12">
        <v>5</v>
      </c>
      <c r="F377" s="12">
        <v>21586</v>
      </c>
      <c r="G377" s="12">
        <f t="shared" si="5"/>
        <v>107930</v>
      </c>
      <c r="H377" s="13">
        <v>46023</v>
      </c>
      <c r="I377" s="12" t="s">
        <v>64</v>
      </c>
      <c r="J377" s="12" t="s">
        <v>65</v>
      </c>
      <c r="K377" s="12">
        <v>3.6</v>
      </c>
    </row>
    <row r="378" spans="1:11">
      <c r="A378" s="12" t="s">
        <v>517</v>
      </c>
      <c r="B378" s="12" t="s">
        <v>34</v>
      </c>
      <c r="C378" s="12" t="s">
        <v>10</v>
      </c>
      <c r="D378" s="12" t="s">
        <v>11</v>
      </c>
      <c r="E378" s="12">
        <v>5</v>
      </c>
      <c r="F378" s="12">
        <v>5539</v>
      </c>
      <c r="G378" s="12">
        <f t="shared" si="5"/>
        <v>27695</v>
      </c>
      <c r="H378" s="13">
        <v>46101</v>
      </c>
      <c r="I378" s="12" t="s">
        <v>64</v>
      </c>
      <c r="J378" s="12" t="s">
        <v>8</v>
      </c>
      <c r="K378" s="12">
        <v>3.4</v>
      </c>
    </row>
    <row r="379" spans="1:11">
      <c r="A379" s="12" t="s">
        <v>518</v>
      </c>
      <c r="B379" s="12" t="s">
        <v>320</v>
      </c>
      <c r="C379" s="12" t="s">
        <v>12</v>
      </c>
      <c r="D379" s="12" t="s">
        <v>7</v>
      </c>
      <c r="E379" s="12">
        <v>2</v>
      </c>
      <c r="F379" s="12">
        <v>21390</v>
      </c>
      <c r="G379" s="12">
        <f t="shared" si="5"/>
        <v>42780</v>
      </c>
      <c r="H379" s="13">
        <v>46171</v>
      </c>
      <c r="I379" s="12" t="s">
        <v>35</v>
      </c>
      <c r="J379" s="12" t="s">
        <v>43</v>
      </c>
      <c r="K379" s="12">
        <v>3.7</v>
      </c>
    </row>
    <row r="380" spans="1:11">
      <c r="A380" s="12" t="s">
        <v>519</v>
      </c>
      <c r="B380" s="12" t="s">
        <v>520</v>
      </c>
      <c r="C380" s="12" t="s">
        <v>59</v>
      </c>
      <c r="D380" s="12" t="s">
        <v>7</v>
      </c>
      <c r="E380" s="12">
        <v>4</v>
      </c>
      <c r="F380" s="12">
        <v>19163</v>
      </c>
      <c r="G380" s="12">
        <f t="shared" si="5"/>
        <v>76652</v>
      </c>
      <c r="H380" s="13">
        <v>46060</v>
      </c>
      <c r="I380" s="12" t="s">
        <v>46</v>
      </c>
      <c r="J380" s="12" t="s">
        <v>40</v>
      </c>
      <c r="K380" s="12">
        <v>4.9000000000000004</v>
      </c>
    </row>
    <row r="381" spans="1:11">
      <c r="A381" s="12" t="s">
        <v>521</v>
      </c>
      <c r="B381" s="12" t="s">
        <v>102</v>
      </c>
      <c r="C381" s="12" t="s">
        <v>105</v>
      </c>
      <c r="D381" s="12" t="s">
        <v>106</v>
      </c>
      <c r="E381" s="12">
        <v>4</v>
      </c>
      <c r="F381" s="12">
        <v>4623</v>
      </c>
      <c r="G381" s="12">
        <f t="shared" si="5"/>
        <v>18492</v>
      </c>
      <c r="H381" s="13">
        <v>46187</v>
      </c>
      <c r="I381" s="12" t="s">
        <v>64</v>
      </c>
      <c r="J381" s="12" t="s">
        <v>8</v>
      </c>
      <c r="K381" s="12">
        <v>4.5999999999999996</v>
      </c>
    </row>
    <row r="382" spans="1:11">
      <c r="A382" s="12" t="s">
        <v>522</v>
      </c>
      <c r="B382" s="12" t="s">
        <v>73</v>
      </c>
      <c r="C382" s="12" t="s">
        <v>26</v>
      </c>
      <c r="D382" s="12" t="s">
        <v>7</v>
      </c>
      <c r="E382" s="12">
        <v>3</v>
      </c>
      <c r="F382" s="12">
        <v>42332</v>
      </c>
      <c r="G382" s="12">
        <f t="shared" si="5"/>
        <v>126996</v>
      </c>
      <c r="H382" s="13">
        <v>46111</v>
      </c>
      <c r="I382" s="12" t="s">
        <v>49</v>
      </c>
      <c r="J382" s="12" t="s">
        <v>30</v>
      </c>
      <c r="K382" s="12">
        <v>4.8</v>
      </c>
    </row>
    <row r="383" spans="1:11">
      <c r="A383" s="12" t="s">
        <v>523</v>
      </c>
      <c r="B383" s="12" t="s">
        <v>273</v>
      </c>
      <c r="C383" s="12" t="s">
        <v>13</v>
      </c>
      <c r="D383" s="12" t="s">
        <v>14</v>
      </c>
      <c r="E383" s="12">
        <v>2</v>
      </c>
      <c r="F383" s="12">
        <v>39661</v>
      </c>
      <c r="G383" s="12">
        <f t="shared" si="5"/>
        <v>79322</v>
      </c>
      <c r="H383" s="13">
        <v>46042</v>
      </c>
      <c r="I383" s="12" t="s">
        <v>74</v>
      </c>
      <c r="J383" s="12" t="s">
        <v>40</v>
      </c>
      <c r="K383" s="12">
        <v>4</v>
      </c>
    </row>
    <row r="384" spans="1:11">
      <c r="A384" s="12" t="s">
        <v>524</v>
      </c>
      <c r="B384" s="12" t="s">
        <v>376</v>
      </c>
      <c r="C384" s="12" t="s">
        <v>10</v>
      </c>
      <c r="D384" s="12" t="s">
        <v>11</v>
      </c>
      <c r="E384" s="12">
        <v>4</v>
      </c>
      <c r="F384" s="12">
        <v>45991</v>
      </c>
      <c r="G384" s="12">
        <f t="shared" si="5"/>
        <v>183964</v>
      </c>
      <c r="H384" s="13">
        <v>46039</v>
      </c>
      <c r="I384" s="12" t="s">
        <v>74</v>
      </c>
      <c r="J384" s="12" t="s">
        <v>30</v>
      </c>
      <c r="K384" s="12">
        <v>3.1</v>
      </c>
    </row>
    <row r="385" spans="1:11">
      <c r="A385" s="12" t="s">
        <v>525</v>
      </c>
      <c r="B385" s="12" t="s">
        <v>155</v>
      </c>
      <c r="C385" s="12" t="s">
        <v>26</v>
      </c>
      <c r="D385" s="12" t="s">
        <v>7</v>
      </c>
      <c r="E385" s="12">
        <v>4</v>
      </c>
      <c r="F385" s="12">
        <v>44565</v>
      </c>
      <c r="G385" s="12">
        <f t="shared" si="5"/>
        <v>178260</v>
      </c>
      <c r="H385" s="13">
        <v>46173</v>
      </c>
      <c r="I385" s="12" t="s">
        <v>27</v>
      </c>
      <c r="J385" s="12" t="s">
        <v>40</v>
      </c>
      <c r="K385" s="12">
        <v>4.2</v>
      </c>
    </row>
    <row r="386" spans="1:11">
      <c r="A386" s="12" t="s">
        <v>526</v>
      </c>
      <c r="B386" s="12" t="s">
        <v>147</v>
      </c>
      <c r="C386" s="12" t="s">
        <v>105</v>
      </c>
      <c r="D386" s="12" t="s">
        <v>106</v>
      </c>
      <c r="E386" s="12">
        <v>4</v>
      </c>
      <c r="F386" s="12">
        <v>38135</v>
      </c>
      <c r="G386" s="12">
        <f t="shared" si="5"/>
        <v>152540</v>
      </c>
      <c r="H386" s="13">
        <v>46093</v>
      </c>
      <c r="I386" s="12" t="s">
        <v>9</v>
      </c>
      <c r="J386" s="12" t="s">
        <v>40</v>
      </c>
      <c r="K386" s="12">
        <v>3.2</v>
      </c>
    </row>
    <row r="387" spans="1:11">
      <c r="A387" s="12" t="s">
        <v>527</v>
      </c>
      <c r="B387" s="12" t="s">
        <v>71</v>
      </c>
      <c r="C387" s="12" t="s">
        <v>13</v>
      </c>
      <c r="D387" s="12" t="s">
        <v>14</v>
      </c>
      <c r="E387" s="12">
        <v>1</v>
      </c>
      <c r="F387" s="12">
        <v>3349</v>
      </c>
      <c r="G387" s="12">
        <f t="shared" ref="G387:G450" si="6">SUM(F387*E387)</f>
        <v>3349</v>
      </c>
      <c r="H387" s="13">
        <v>46063</v>
      </c>
      <c r="I387" s="12" t="s">
        <v>9</v>
      </c>
      <c r="J387" s="12" t="s">
        <v>8</v>
      </c>
      <c r="K387" s="12">
        <v>4.2</v>
      </c>
    </row>
    <row r="388" spans="1:11">
      <c r="A388" s="12" t="s">
        <v>528</v>
      </c>
      <c r="B388" s="12" t="s">
        <v>119</v>
      </c>
      <c r="C388" s="12" t="s">
        <v>26</v>
      </c>
      <c r="D388" s="12" t="s">
        <v>7</v>
      </c>
      <c r="E388" s="12">
        <v>4</v>
      </c>
      <c r="F388" s="12">
        <v>14680</v>
      </c>
      <c r="G388" s="12">
        <f t="shared" si="6"/>
        <v>58720</v>
      </c>
      <c r="H388" s="13">
        <v>46127</v>
      </c>
      <c r="I388" s="12" t="s">
        <v>49</v>
      </c>
      <c r="J388" s="12" t="s">
        <v>30</v>
      </c>
      <c r="K388" s="12">
        <v>4.2</v>
      </c>
    </row>
    <row r="389" spans="1:11">
      <c r="A389" s="12" t="s">
        <v>529</v>
      </c>
      <c r="B389" s="12" t="s">
        <v>58</v>
      </c>
      <c r="C389" s="12" t="s">
        <v>15</v>
      </c>
      <c r="D389" s="12" t="s">
        <v>7</v>
      </c>
      <c r="E389" s="12">
        <v>2</v>
      </c>
      <c r="F389" s="12">
        <v>36386</v>
      </c>
      <c r="G389" s="12">
        <f t="shared" si="6"/>
        <v>72772</v>
      </c>
      <c r="H389" s="13">
        <v>46107</v>
      </c>
      <c r="I389" s="12" t="s">
        <v>27</v>
      </c>
      <c r="J389" s="12" t="s">
        <v>30</v>
      </c>
      <c r="K389" s="12">
        <v>4</v>
      </c>
    </row>
    <row r="390" spans="1:11">
      <c r="A390" s="12" t="s">
        <v>530</v>
      </c>
      <c r="B390" s="12" t="s">
        <v>114</v>
      </c>
      <c r="C390" s="12" t="s">
        <v>12</v>
      </c>
      <c r="D390" s="12" t="s">
        <v>7</v>
      </c>
      <c r="E390" s="12">
        <v>3</v>
      </c>
      <c r="F390" s="12">
        <v>14987</v>
      </c>
      <c r="G390" s="12">
        <f t="shared" si="6"/>
        <v>44961</v>
      </c>
      <c r="H390" s="13">
        <v>46127</v>
      </c>
      <c r="I390" s="12" t="s">
        <v>35</v>
      </c>
      <c r="J390" s="12" t="s">
        <v>30</v>
      </c>
      <c r="K390" s="12">
        <v>4</v>
      </c>
    </row>
    <row r="391" spans="1:11">
      <c r="A391" s="12" t="s">
        <v>531</v>
      </c>
      <c r="B391" s="12" t="s">
        <v>285</v>
      </c>
      <c r="C391" s="12" t="s">
        <v>10</v>
      </c>
      <c r="D391" s="12" t="s">
        <v>11</v>
      </c>
      <c r="E391" s="12">
        <v>5</v>
      </c>
      <c r="F391" s="12">
        <v>32595</v>
      </c>
      <c r="G391" s="12">
        <f t="shared" si="6"/>
        <v>162975</v>
      </c>
      <c r="H391" s="13">
        <v>46151</v>
      </c>
      <c r="I391" s="12" t="s">
        <v>49</v>
      </c>
      <c r="J391" s="12" t="s">
        <v>8</v>
      </c>
      <c r="K391" s="12">
        <v>4.7</v>
      </c>
    </row>
    <row r="392" spans="1:11">
      <c r="A392" s="12" t="s">
        <v>532</v>
      </c>
      <c r="B392" s="12" t="s">
        <v>34</v>
      </c>
      <c r="C392" s="12" t="s">
        <v>59</v>
      </c>
      <c r="D392" s="12" t="s">
        <v>7</v>
      </c>
      <c r="E392" s="12">
        <v>5</v>
      </c>
      <c r="F392" s="12">
        <v>35442</v>
      </c>
      <c r="G392" s="12">
        <f t="shared" si="6"/>
        <v>177210</v>
      </c>
      <c r="H392" s="13">
        <v>46029</v>
      </c>
      <c r="I392" s="12" t="s">
        <v>49</v>
      </c>
      <c r="J392" s="12" t="s">
        <v>65</v>
      </c>
      <c r="K392" s="12">
        <v>4.9000000000000004</v>
      </c>
    </row>
    <row r="393" spans="1:11">
      <c r="A393" s="12" t="s">
        <v>533</v>
      </c>
      <c r="B393" s="12" t="s">
        <v>285</v>
      </c>
      <c r="C393" s="12" t="s">
        <v>105</v>
      </c>
      <c r="D393" s="12" t="s">
        <v>106</v>
      </c>
      <c r="E393" s="12">
        <v>5</v>
      </c>
      <c r="F393" s="12">
        <v>39506</v>
      </c>
      <c r="G393" s="12">
        <f t="shared" si="6"/>
        <v>197530</v>
      </c>
      <c r="H393" s="13">
        <v>46153</v>
      </c>
      <c r="I393" s="12" t="s">
        <v>46</v>
      </c>
      <c r="J393" s="12" t="s">
        <v>65</v>
      </c>
      <c r="K393" s="12">
        <v>4.3</v>
      </c>
    </row>
    <row r="394" spans="1:11">
      <c r="A394" s="12" t="s">
        <v>534</v>
      </c>
      <c r="B394" s="12" t="s">
        <v>285</v>
      </c>
      <c r="C394" s="12" t="s">
        <v>79</v>
      </c>
      <c r="D394" s="12" t="s">
        <v>80</v>
      </c>
      <c r="E394" s="12">
        <v>2</v>
      </c>
      <c r="F394" s="12">
        <v>33094</v>
      </c>
      <c r="G394" s="12">
        <f t="shared" si="6"/>
        <v>66188</v>
      </c>
      <c r="H394" s="13">
        <v>46074</v>
      </c>
      <c r="I394" s="12" t="s">
        <v>27</v>
      </c>
      <c r="J394" s="12" t="s">
        <v>8</v>
      </c>
      <c r="K394" s="12">
        <v>3.9</v>
      </c>
    </row>
    <row r="395" spans="1:11">
      <c r="A395" s="12" t="s">
        <v>535</v>
      </c>
      <c r="B395" s="12" t="s">
        <v>128</v>
      </c>
      <c r="C395" s="12" t="s">
        <v>13</v>
      </c>
      <c r="D395" s="12" t="s">
        <v>14</v>
      </c>
      <c r="E395" s="12">
        <v>5</v>
      </c>
      <c r="F395" s="12">
        <v>26104</v>
      </c>
      <c r="G395" s="12">
        <f t="shared" si="6"/>
        <v>130520</v>
      </c>
      <c r="H395" s="13">
        <v>46034</v>
      </c>
      <c r="I395" s="12" t="s">
        <v>49</v>
      </c>
      <c r="J395" s="12" t="s">
        <v>65</v>
      </c>
      <c r="K395" s="12">
        <v>3.1</v>
      </c>
    </row>
    <row r="396" spans="1:11">
      <c r="A396" s="12" t="s">
        <v>536</v>
      </c>
      <c r="B396" s="12" t="s">
        <v>257</v>
      </c>
      <c r="C396" s="12" t="s">
        <v>16</v>
      </c>
      <c r="D396" s="12" t="s">
        <v>14</v>
      </c>
      <c r="E396" s="12">
        <v>4</v>
      </c>
      <c r="F396" s="12">
        <v>37213</v>
      </c>
      <c r="G396" s="12">
        <f t="shared" si="6"/>
        <v>148852</v>
      </c>
      <c r="H396" s="13">
        <v>46098</v>
      </c>
      <c r="I396" s="12" t="s">
        <v>74</v>
      </c>
      <c r="J396" s="12" t="s">
        <v>8</v>
      </c>
      <c r="K396" s="12">
        <v>4.0999999999999996</v>
      </c>
    </row>
    <row r="397" spans="1:11">
      <c r="A397" s="12" t="s">
        <v>537</v>
      </c>
      <c r="B397" s="12" t="s">
        <v>34</v>
      </c>
      <c r="C397" s="12" t="s">
        <v>59</v>
      </c>
      <c r="D397" s="12" t="s">
        <v>7</v>
      </c>
      <c r="E397" s="12">
        <v>1</v>
      </c>
      <c r="F397" s="12">
        <v>1534</v>
      </c>
      <c r="G397" s="12">
        <f t="shared" si="6"/>
        <v>1534</v>
      </c>
      <c r="H397" s="13">
        <v>46087</v>
      </c>
      <c r="I397" s="12" t="s">
        <v>9</v>
      </c>
      <c r="J397" s="12" t="s">
        <v>30</v>
      </c>
      <c r="K397" s="12">
        <v>4.2</v>
      </c>
    </row>
    <row r="398" spans="1:11">
      <c r="A398" s="12" t="s">
        <v>538</v>
      </c>
      <c r="B398" s="12" t="s">
        <v>170</v>
      </c>
      <c r="C398" s="12" t="s">
        <v>79</v>
      </c>
      <c r="D398" s="12" t="s">
        <v>80</v>
      </c>
      <c r="E398" s="12">
        <v>2</v>
      </c>
      <c r="F398" s="12">
        <v>13321</v>
      </c>
      <c r="G398" s="12">
        <f t="shared" si="6"/>
        <v>26642</v>
      </c>
      <c r="H398" s="13">
        <v>46172</v>
      </c>
      <c r="I398" s="12" t="s">
        <v>49</v>
      </c>
      <c r="J398" s="12" t="s">
        <v>40</v>
      </c>
      <c r="K398" s="12">
        <v>4.2</v>
      </c>
    </row>
    <row r="399" spans="1:11">
      <c r="A399" s="12" t="s">
        <v>539</v>
      </c>
      <c r="B399" s="12" t="s">
        <v>157</v>
      </c>
      <c r="C399" s="12" t="s">
        <v>52</v>
      </c>
      <c r="D399" s="12" t="s">
        <v>11</v>
      </c>
      <c r="E399" s="12">
        <v>5</v>
      </c>
      <c r="F399" s="12">
        <v>5723</v>
      </c>
      <c r="G399" s="12">
        <f t="shared" si="6"/>
        <v>28615</v>
      </c>
      <c r="H399" s="13">
        <v>46067</v>
      </c>
      <c r="I399" s="12" t="s">
        <v>64</v>
      </c>
      <c r="J399" s="12" t="s">
        <v>65</v>
      </c>
      <c r="K399" s="12">
        <v>3.8</v>
      </c>
    </row>
    <row r="400" spans="1:11">
      <c r="A400" s="12" t="s">
        <v>540</v>
      </c>
      <c r="B400" s="12" t="s">
        <v>300</v>
      </c>
      <c r="C400" s="12" t="s">
        <v>15</v>
      </c>
      <c r="D400" s="12" t="s">
        <v>7</v>
      </c>
      <c r="E400" s="12">
        <v>1</v>
      </c>
      <c r="F400" s="12">
        <v>18587</v>
      </c>
      <c r="G400" s="12">
        <f t="shared" si="6"/>
        <v>18587</v>
      </c>
      <c r="H400" s="13">
        <v>46175</v>
      </c>
      <c r="I400" s="12" t="s">
        <v>46</v>
      </c>
      <c r="J400" s="12" t="s">
        <v>8</v>
      </c>
      <c r="K400" s="12">
        <v>4.5999999999999996</v>
      </c>
    </row>
    <row r="401" spans="1:11">
      <c r="A401" s="12" t="s">
        <v>541</v>
      </c>
      <c r="B401" s="12" t="s">
        <v>157</v>
      </c>
      <c r="C401" s="12" t="s">
        <v>6</v>
      </c>
      <c r="D401" s="12" t="s">
        <v>7</v>
      </c>
      <c r="E401" s="12">
        <v>2</v>
      </c>
      <c r="F401" s="12">
        <v>22985</v>
      </c>
      <c r="G401" s="12">
        <f t="shared" si="6"/>
        <v>45970</v>
      </c>
      <c r="H401" s="13">
        <v>46179</v>
      </c>
      <c r="I401" s="12" t="s">
        <v>9</v>
      </c>
      <c r="J401" s="12" t="s">
        <v>65</v>
      </c>
      <c r="K401" s="12">
        <v>3.3</v>
      </c>
    </row>
    <row r="402" spans="1:11">
      <c r="A402" s="12" t="s">
        <v>542</v>
      </c>
      <c r="B402" s="12" t="s">
        <v>295</v>
      </c>
      <c r="C402" s="12" t="s">
        <v>16</v>
      </c>
      <c r="D402" s="12" t="s">
        <v>14</v>
      </c>
      <c r="E402" s="12">
        <v>1</v>
      </c>
      <c r="F402" s="12">
        <v>16628</v>
      </c>
      <c r="G402" s="12">
        <f t="shared" si="6"/>
        <v>16628</v>
      </c>
      <c r="H402" s="13">
        <v>46159</v>
      </c>
      <c r="I402" s="12" t="s">
        <v>9</v>
      </c>
      <c r="J402" s="12" t="s">
        <v>65</v>
      </c>
      <c r="K402" s="12">
        <v>4.5999999999999996</v>
      </c>
    </row>
    <row r="403" spans="1:11">
      <c r="A403" s="12" t="s">
        <v>543</v>
      </c>
      <c r="B403" s="12" t="s">
        <v>167</v>
      </c>
      <c r="C403" s="12" t="s">
        <v>16</v>
      </c>
      <c r="D403" s="12" t="s">
        <v>14</v>
      </c>
      <c r="E403" s="12">
        <v>3</v>
      </c>
      <c r="F403" s="12">
        <v>17764</v>
      </c>
      <c r="G403" s="12">
        <f t="shared" si="6"/>
        <v>53292</v>
      </c>
      <c r="H403" s="13">
        <v>46192</v>
      </c>
      <c r="I403" s="12" t="s">
        <v>27</v>
      </c>
      <c r="J403" s="12" t="s">
        <v>43</v>
      </c>
      <c r="K403" s="12">
        <v>4.5999999999999996</v>
      </c>
    </row>
    <row r="404" spans="1:11">
      <c r="A404" s="12" t="s">
        <v>544</v>
      </c>
      <c r="B404" s="12" t="s">
        <v>376</v>
      </c>
      <c r="C404" s="12" t="s">
        <v>26</v>
      </c>
      <c r="D404" s="12" t="s">
        <v>7</v>
      </c>
      <c r="E404" s="12">
        <v>5</v>
      </c>
      <c r="F404" s="12">
        <v>7386</v>
      </c>
      <c r="G404" s="12">
        <f t="shared" si="6"/>
        <v>36930</v>
      </c>
      <c r="H404" s="13">
        <v>46077</v>
      </c>
      <c r="I404" s="12" t="s">
        <v>49</v>
      </c>
      <c r="J404" s="12" t="s">
        <v>65</v>
      </c>
      <c r="K404" s="12">
        <v>5</v>
      </c>
    </row>
    <row r="405" spans="1:11">
      <c r="A405" s="12" t="s">
        <v>545</v>
      </c>
      <c r="B405" s="12" t="s">
        <v>205</v>
      </c>
      <c r="C405" s="12" t="s">
        <v>79</v>
      </c>
      <c r="D405" s="12" t="s">
        <v>80</v>
      </c>
      <c r="E405" s="12">
        <v>1</v>
      </c>
      <c r="F405" s="12">
        <v>35053</v>
      </c>
      <c r="G405" s="12">
        <f t="shared" si="6"/>
        <v>35053</v>
      </c>
      <c r="H405" s="13">
        <v>46048</v>
      </c>
      <c r="I405" s="12" t="s">
        <v>74</v>
      </c>
      <c r="J405" s="12" t="s">
        <v>65</v>
      </c>
      <c r="K405" s="12">
        <v>3.8</v>
      </c>
    </row>
    <row r="406" spans="1:11">
      <c r="A406" s="12" t="s">
        <v>546</v>
      </c>
      <c r="B406" s="12" t="s">
        <v>58</v>
      </c>
      <c r="C406" s="12" t="s">
        <v>15</v>
      </c>
      <c r="D406" s="12" t="s">
        <v>7</v>
      </c>
      <c r="E406" s="12">
        <v>5</v>
      </c>
      <c r="F406" s="12">
        <v>7882</v>
      </c>
      <c r="G406" s="12">
        <f t="shared" si="6"/>
        <v>39410</v>
      </c>
      <c r="H406" s="13">
        <v>46165</v>
      </c>
      <c r="I406" s="12" t="s">
        <v>74</v>
      </c>
      <c r="J406" s="12" t="s">
        <v>30</v>
      </c>
      <c r="K406" s="12">
        <v>4.9000000000000004</v>
      </c>
    </row>
    <row r="407" spans="1:11">
      <c r="A407" s="12" t="s">
        <v>547</v>
      </c>
      <c r="B407" s="12" t="s">
        <v>267</v>
      </c>
      <c r="C407" s="12" t="s">
        <v>55</v>
      </c>
      <c r="D407" s="12" t="s">
        <v>56</v>
      </c>
      <c r="E407" s="12">
        <v>3</v>
      </c>
      <c r="F407" s="12">
        <v>46173</v>
      </c>
      <c r="G407" s="12">
        <f t="shared" si="6"/>
        <v>138519</v>
      </c>
      <c r="H407" s="13">
        <v>46025</v>
      </c>
      <c r="I407" s="12" t="s">
        <v>9</v>
      </c>
      <c r="J407" s="12" t="s">
        <v>8</v>
      </c>
      <c r="K407" s="12">
        <v>3.1</v>
      </c>
    </row>
    <row r="408" spans="1:11">
      <c r="A408" s="12" t="s">
        <v>548</v>
      </c>
      <c r="B408" s="12" t="s">
        <v>203</v>
      </c>
      <c r="C408" s="12" t="s">
        <v>52</v>
      </c>
      <c r="D408" s="12" t="s">
        <v>11</v>
      </c>
      <c r="E408" s="12">
        <v>3</v>
      </c>
      <c r="F408" s="12">
        <v>17105</v>
      </c>
      <c r="G408" s="12">
        <f t="shared" si="6"/>
        <v>51315</v>
      </c>
      <c r="H408" s="13">
        <v>46084</v>
      </c>
      <c r="I408" s="12" t="s">
        <v>64</v>
      </c>
      <c r="J408" s="12" t="s">
        <v>65</v>
      </c>
      <c r="K408" s="12">
        <v>4.2</v>
      </c>
    </row>
    <row r="409" spans="1:11">
      <c r="A409" s="12" t="s">
        <v>549</v>
      </c>
      <c r="B409" s="12" t="s">
        <v>210</v>
      </c>
      <c r="C409" s="12" t="s">
        <v>6</v>
      </c>
      <c r="D409" s="12" t="s">
        <v>7</v>
      </c>
      <c r="E409" s="12">
        <v>5</v>
      </c>
      <c r="F409" s="12">
        <v>27005</v>
      </c>
      <c r="G409" s="12">
        <f t="shared" si="6"/>
        <v>135025</v>
      </c>
      <c r="H409" s="13">
        <v>46093</v>
      </c>
      <c r="I409" s="12" t="s">
        <v>46</v>
      </c>
      <c r="J409" s="12" t="s">
        <v>8</v>
      </c>
      <c r="K409" s="12">
        <v>3.3</v>
      </c>
    </row>
    <row r="410" spans="1:11">
      <c r="A410" s="12" t="s">
        <v>550</v>
      </c>
      <c r="B410" s="12" t="s">
        <v>228</v>
      </c>
      <c r="C410" s="12" t="s">
        <v>12</v>
      </c>
      <c r="D410" s="12" t="s">
        <v>7</v>
      </c>
      <c r="E410" s="12">
        <v>3</v>
      </c>
      <c r="F410" s="12">
        <v>10745</v>
      </c>
      <c r="G410" s="12">
        <f t="shared" si="6"/>
        <v>32235</v>
      </c>
      <c r="H410" s="13">
        <v>46034</v>
      </c>
      <c r="I410" s="12" t="s">
        <v>35</v>
      </c>
      <c r="J410" s="12" t="s">
        <v>30</v>
      </c>
      <c r="K410" s="12">
        <v>4.2</v>
      </c>
    </row>
    <row r="411" spans="1:11">
      <c r="A411" s="12" t="s">
        <v>551</v>
      </c>
      <c r="B411" s="12" t="s">
        <v>173</v>
      </c>
      <c r="C411" s="12" t="s">
        <v>15</v>
      </c>
      <c r="D411" s="12" t="s">
        <v>7</v>
      </c>
      <c r="E411" s="12">
        <v>2</v>
      </c>
      <c r="F411" s="12">
        <v>6237</v>
      </c>
      <c r="G411" s="12">
        <f t="shared" si="6"/>
        <v>12474</v>
      </c>
      <c r="H411" s="13">
        <v>46053</v>
      </c>
      <c r="I411" s="12" t="s">
        <v>35</v>
      </c>
      <c r="J411" s="12" t="s">
        <v>40</v>
      </c>
      <c r="K411" s="12">
        <v>3.7</v>
      </c>
    </row>
    <row r="412" spans="1:11">
      <c r="A412" s="12" t="s">
        <v>552</v>
      </c>
      <c r="B412" s="12" t="s">
        <v>167</v>
      </c>
      <c r="C412" s="12" t="s">
        <v>6</v>
      </c>
      <c r="D412" s="12" t="s">
        <v>7</v>
      </c>
      <c r="E412" s="12">
        <v>5</v>
      </c>
      <c r="F412" s="12">
        <v>24005</v>
      </c>
      <c r="G412" s="12">
        <f t="shared" si="6"/>
        <v>120025</v>
      </c>
      <c r="H412" s="13">
        <v>46176</v>
      </c>
      <c r="I412" s="12" t="s">
        <v>9</v>
      </c>
      <c r="J412" s="12" t="s">
        <v>43</v>
      </c>
      <c r="K412" s="12">
        <v>3.9</v>
      </c>
    </row>
    <row r="413" spans="1:11">
      <c r="A413" s="12" t="s">
        <v>553</v>
      </c>
      <c r="B413" s="12" t="s">
        <v>112</v>
      </c>
      <c r="C413" s="12" t="s">
        <v>26</v>
      </c>
      <c r="D413" s="12" t="s">
        <v>7</v>
      </c>
      <c r="E413" s="12">
        <v>3</v>
      </c>
      <c r="F413" s="12">
        <v>29307</v>
      </c>
      <c r="G413" s="12">
        <f t="shared" si="6"/>
        <v>87921</v>
      </c>
      <c r="H413" s="13">
        <v>46048</v>
      </c>
      <c r="I413" s="12" t="s">
        <v>27</v>
      </c>
      <c r="J413" s="12" t="s">
        <v>40</v>
      </c>
      <c r="K413" s="12">
        <v>4.0999999999999996</v>
      </c>
    </row>
    <row r="414" spans="1:11">
      <c r="A414" s="12" t="s">
        <v>554</v>
      </c>
      <c r="B414" s="12" t="s">
        <v>32</v>
      </c>
      <c r="C414" s="12" t="s">
        <v>16</v>
      </c>
      <c r="D414" s="12" t="s">
        <v>14</v>
      </c>
      <c r="E414" s="12">
        <v>2</v>
      </c>
      <c r="F414" s="12">
        <v>15917</v>
      </c>
      <c r="G414" s="12">
        <f t="shared" si="6"/>
        <v>31834</v>
      </c>
      <c r="H414" s="13">
        <v>46159</v>
      </c>
      <c r="I414" s="12" t="s">
        <v>35</v>
      </c>
      <c r="J414" s="12" t="s">
        <v>30</v>
      </c>
      <c r="K414" s="12">
        <v>4</v>
      </c>
    </row>
    <row r="415" spans="1:11">
      <c r="A415" s="12" t="s">
        <v>555</v>
      </c>
      <c r="B415" s="12" t="s">
        <v>63</v>
      </c>
      <c r="C415" s="12" t="s">
        <v>15</v>
      </c>
      <c r="D415" s="12" t="s">
        <v>7</v>
      </c>
      <c r="E415" s="12">
        <v>3</v>
      </c>
      <c r="F415" s="12">
        <v>21037</v>
      </c>
      <c r="G415" s="12">
        <f t="shared" si="6"/>
        <v>63111</v>
      </c>
      <c r="H415" s="13">
        <v>46130</v>
      </c>
      <c r="I415" s="12" t="s">
        <v>35</v>
      </c>
      <c r="J415" s="12" t="s">
        <v>8</v>
      </c>
      <c r="K415" s="12">
        <v>3.6</v>
      </c>
    </row>
    <row r="416" spans="1:11">
      <c r="A416" s="12" t="s">
        <v>556</v>
      </c>
      <c r="B416" s="12" t="s">
        <v>58</v>
      </c>
      <c r="C416" s="12" t="s">
        <v>16</v>
      </c>
      <c r="D416" s="12" t="s">
        <v>14</v>
      </c>
      <c r="E416" s="12">
        <v>4</v>
      </c>
      <c r="F416" s="12">
        <v>46778</v>
      </c>
      <c r="G416" s="12">
        <f t="shared" si="6"/>
        <v>187112</v>
      </c>
      <c r="H416" s="13">
        <v>46175</v>
      </c>
      <c r="I416" s="12" t="s">
        <v>9</v>
      </c>
      <c r="J416" s="12" t="s">
        <v>65</v>
      </c>
      <c r="K416" s="12">
        <v>3.8</v>
      </c>
    </row>
    <row r="417" spans="1:11">
      <c r="A417" s="12" t="s">
        <v>557</v>
      </c>
      <c r="B417" s="12" t="s">
        <v>178</v>
      </c>
      <c r="C417" s="12" t="s">
        <v>55</v>
      </c>
      <c r="D417" s="12" t="s">
        <v>56</v>
      </c>
      <c r="E417" s="12">
        <v>1</v>
      </c>
      <c r="F417" s="12">
        <v>22122</v>
      </c>
      <c r="G417" s="12">
        <f t="shared" si="6"/>
        <v>22122</v>
      </c>
      <c r="H417" s="13">
        <v>46029</v>
      </c>
      <c r="I417" s="12" t="s">
        <v>9</v>
      </c>
      <c r="J417" s="12" t="s">
        <v>30</v>
      </c>
      <c r="K417" s="12">
        <v>3.2</v>
      </c>
    </row>
    <row r="418" spans="1:11">
      <c r="A418" s="12" t="s">
        <v>558</v>
      </c>
      <c r="B418" s="12" t="s">
        <v>155</v>
      </c>
      <c r="C418" s="12" t="s">
        <v>55</v>
      </c>
      <c r="D418" s="12" t="s">
        <v>56</v>
      </c>
      <c r="E418" s="12">
        <v>3</v>
      </c>
      <c r="F418" s="12">
        <v>22908</v>
      </c>
      <c r="G418" s="12">
        <f t="shared" si="6"/>
        <v>68724</v>
      </c>
      <c r="H418" s="13">
        <v>46091</v>
      </c>
      <c r="I418" s="12" t="s">
        <v>64</v>
      </c>
      <c r="J418" s="12" t="s">
        <v>30</v>
      </c>
      <c r="K418" s="12">
        <v>4.3</v>
      </c>
    </row>
    <row r="419" spans="1:11">
      <c r="A419" s="12" t="s">
        <v>559</v>
      </c>
      <c r="B419" s="12" t="s">
        <v>141</v>
      </c>
      <c r="C419" s="12" t="s">
        <v>79</v>
      </c>
      <c r="D419" s="12" t="s">
        <v>80</v>
      </c>
      <c r="E419" s="12">
        <v>1</v>
      </c>
      <c r="F419" s="12">
        <v>28506</v>
      </c>
      <c r="G419" s="12">
        <f t="shared" si="6"/>
        <v>28506</v>
      </c>
      <c r="H419" s="13">
        <v>46107</v>
      </c>
      <c r="I419" s="12" t="s">
        <v>9</v>
      </c>
      <c r="J419" s="12" t="s">
        <v>8</v>
      </c>
      <c r="K419" s="12">
        <v>3.9</v>
      </c>
    </row>
    <row r="420" spans="1:11">
      <c r="A420" s="12" t="s">
        <v>560</v>
      </c>
      <c r="B420" s="12" t="s">
        <v>273</v>
      </c>
      <c r="C420" s="12" t="s">
        <v>16</v>
      </c>
      <c r="D420" s="12" t="s">
        <v>14</v>
      </c>
      <c r="E420" s="12">
        <v>2</v>
      </c>
      <c r="F420" s="12">
        <v>45544</v>
      </c>
      <c r="G420" s="12">
        <f t="shared" si="6"/>
        <v>91088</v>
      </c>
      <c r="H420" s="13">
        <v>46165</v>
      </c>
      <c r="I420" s="12" t="s">
        <v>49</v>
      </c>
      <c r="J420" s="12" t="s">
        <v>40</v>
      </c>
      <c r="K420" s="12">
        <v>4.9000000000000004</v>
      </c>
    </row>
    <row r="421" spans="1:11">
      <c r="A421" s="12" t="s">
        <v>561</v>
      </c>
      <c r="B421" s="12" t="s">
        <v>159</v>
      </c>
      <c r="C421" s="12" t="s">
        <v>6</v>
      </c>
      <c r="D421" s="12" t="s">
        <v>7</v>
      </c>
      <c r="E421" s="12">
        <v>2</v>
      </c>
      <c r="F421" s="12">
        <v>21821</v>
      </c>
      <c r="G421" s="12">
        <f t="shared" si="6"/>
        <v>43642</v>
      </c>
      <c r="H421" s="13">
        <v>46044</v>
      </c>
      <c r="I421" s="12" t="s">
        <v>49</v>
      </c>
      <c r="J421" s="12" t="s">
        <v>65</v>
      </c>
      <c r="K421" s="12">
        <v>4.0999999999999996</v>
      </c>
    </row>
    <row r="422" spans="1:11">
      <c r="A422" s="12" t="s">
        <v>562</v>
      </c>
      <c r="B422" s="12" t="s">
        <v>193</v>
      </c>
      <c r="C422" s="12" t="s">
        <v>79</v>
      </c>
      <c r="D422" s="12" t="s">
        <v>80</v>
      </c>
      <c r="E422" s="12">
        <v>3</v>
      </c>
      <c r="F422" s="12">
        <v>10342</v>
      </c>
      <c r="G422" s="12">
        <f t="shared" si="6"/>
        <v>31026</v>
      </c>
      <c r="H422" s="13">
        <v>46175</v>
      </c>
      <c r="I422" s="12" t="s">
        <v>74</v>
      </c>
      <c r="J422" s="12" t="s">
        <v>65</v>
      </c>
      <c r="K422" s="12">
        <v>4.7</v>
      </c>
    </row>
    <row r="423" spans="1:11">
      <c r="A423" s="12" t="s">
        <v>563</v>
      </c>
      <c r="B423" s="12" t="s">
        <v>67</v>
      </c>
      <c r="C423" s="12" t="s">
        <v>79</v>
      </c>
      <c r="D423" s="12" t="s">
        <v>80</v>
      </c>
      <c r="E423" s="12">
        <v>5</v>
      </c>
      <c r="F423" s="12">
        <v>49170</v>
      </c>
      <c r="G423" s="12">
        <f t="shared" si="6"/>
        <v>245850</v>
      </c>
      <c r="H423" s="13">
        <v>46111</v>
      </c>
      <c r="I423" s="12" t="s">
        <v>9</v>
      </c>
      <c r="J423" s="12" t="s">
        <v>30</v>
      </c>
      <c r="K423" s="12">
        <v>4.7</v>
      </c>
    </row>
    <row r="424" spans="1:11">
      <c r="A424" s="12" t="s">
        <v>564</v>
      </c>
      <c r="B424" s="12" t="s">
        <v>167</v>
      </c>
      <c r="C424" s="12" t="s">
        <v>16</v>
      </c>
      <c r="D424" s="12" t="s">
        <v>14</v>
      </c>
      <c r="E424" s="12">
        <v>4</v>
      </c>
      <c r="F424" s="12">
        <v>33533</v>
      </c>
      <c r="G424" s="12">
        <f t="shared" si="6"/>
        <v>134132</v>
      </c>
      <c r="H424" s="13">
        <v>46191</v>
      </c>
      <c r="I424" s="12" t="s">
        <v>27</v>
      </c>
      <c r="J424" s="12" t="s">
        <v>8</v>
      </c>
      <c r="K424" s="12">
        <v>4.0999999999999996</v>
      </c>
    </row>
    <row r="425" spans="1:11">
      <c r="A425" s="12" t="s">
        <v>565</v>
      </c>
      <c r="B425" s="12" t="s">
        <v>102</v>
      </c>
      <c r="C425" s="12" t="s">
        <v>52</v>
      </c>
      <c r="D425" s="12" t="s">
        <v>11</v>
      </c>
      <c r="E425" s="12">
        <v>2</v>
      </c>
      <c r="F425" s="12">
        <v>43575</v>
      </c>
      <c r="G425" s="12">
        <f t="shared" si="6"/>
        <v>87150</v>
      </c>
      <c r="H425" s="13">
        <v>46058</v>
      </c>
      <c r="I425" s="12" t="s">
        <v>9</v>
      </c>
      <c r="J425" s="12" t="s">
        <v>8</v>
      </c>
      <c r="K425" s="12">
        <v>3.1</v>
      </c>
    </row>
    <row r="426" spans="1:11">
      <c r="A426" s="12" t="s">
        <v>566</v>
      </c>
      <c r="B426" s="12" t="s">
        <v>363</v>
      </c>
      <c r="C426" s="12" t="s">
        <v>15</v>
      </c>
      <c r="D426" s="12" t="s">
        <v>7</v>
      </c>
      <c r="E426" s="12">
        <v>1</v>
      </c>
      <c r="F426" s="12">
        <v>32494</v>
      </c>
      <c r="G426" s="12">
        <f t="shared" si="6"/>
        <v>32494</v>
      </c>
      <c r="H426" s="13">
        <v>46106</v>
      </c>
      <c r="I426" s="12" t="s">
        <v>49</v>
      </c>
      <c r="J426" s="12" t="s">
        <v>8</v>
      </c>
      <c r="K426" s="12">
        <v>3.9</v>
      </c>
    </row>
    <row r="427" spans="1:11">
      <c r="A427" s="12" t="s">
        <v>567</v>
      </c>
      <c r="B427" s="12" t="s">
        <v>159</v>
      </c>
      <c r="C427" s="12" t="s">
        <v>79</v>
      </c>
      <c r="D427" s="12" t="s">
        <v>80</v>
      </c>
      <c r="E427" s="12">
        <v>4</v>
      </c>
      <c r="F427" s="12">
        <v>6139</v>
      </c>
      <c r="G427" s="12">
        <f t="shared" si="6"/>
        <v>24556</v>
      </c>
      <c r="H427" s="13">
        <v>46090</v>
      </c>
      <c r="I427" s="12" t="s">
        <v>64</v>
      </c>
      <c r="J427" s="12" t="s">
        <v>43</v>
      </c>
      <c r="K427" s="12">
        <v>3</v>
      </c>
    </row>
    <row r="428" spans="1:11">
      <c r="A428" s="12" t="s">
        <v>568</v>
      </c>
      <c r="B428" s="12" t="s">
        <v>141</v>
      </c>
      <c r="C428" s="12" t="s">
        <v>13</v>
      </c>
      <c r="D428" s="12" t="s">
        <v>14</v>
      </c>
      <c r="E428" s="12">
        <v>1</v>
      </c>
      <c r="F428" s="12">
        <v>5801</v>
      </c>
      <c r="G428" s="12">
        <f t="shared" si="6"/>
        <v>5801</v>
      </c>
      <c r="H428" s="13">
        <v>46122</v>
      </c>
      <c r="I428" s="12" t="s">
        <v>9</v>
      </c>
      <c r="J428" s="12" t="s">
        <v>65</v>
      </c>
      <c r="K428" s="12">
        <v>4.3</v>
      </c>
    </row>
    <row r="429" spans="1:11">
      <c r="A429" s="12" t="s">
        <v>569</v>
      </c>
      <c r="B429" s="12" t="s">
        <v>225</v>
      </c>
      <c r="C429" s="12" t="s">
        <v>13</v>
      </c>
      <c r="D429" s="12" t="s">
        <v>14</v>
      </c>
      <c r="E429" s="12">
        <v>1</v>
      </c>
      <c r="F429" s="12">
        <v>47903</v>
      </c>
      <c r="G429" s="12">
        <f t="shared" si="6"/>
        <v>47903</v>
      </c>
      <c r="H429" s="13">
        <v>46112</v>
      </c>
      <c r="I429" s="12" t="s">
        <v>9</v>
      </c>
      <c r="J429" s="12" t="s">
        <v>65</v>
      </c>
      <c r="K429" s="12">
        <v>3.4</v>
      </c>
    </row>
    <row r="430" spans="1:11">
      <c r="A430" s="12" t="s">
        <v>570</v>
      </c>
      <c r="B430" s="12" t="s">
        <v>248</v>
      </c>
      <c r="C430" s="12" t="s">
        <v>52</v>
      </c>
      <c r="D430" s="12" t="s">
        <v>11</v>
      </c>
      <c r="E430" s="12">
        <v>1</v>
      </c>
      <c r="F430" s="12">
        <v>16385</v>
      </c>
      <c r="G430" s="12">
        <f t="shared" si="6"/>
        <v>16385</v>
      </c>
      <c r="H430" s="13">
        <v>46056</v>
      </c>
      <c r="I430" s="12" t="s">
        <v>74</v>
      </c>
      <c r="J430" s="12" t="s">
        <v>8</v>
      </c>
      <c r="K430" s="12">
        <v>4.7</v>
      </c>
    </row>
    <row r="431" spans="1:11">
      <c r="A431" s="12" t="s">
        <v>571</v>
      </c>
      <c r="B431" s="12" t="s">
        <v>387</v>
      </c>
      <c r="C431" s="12" t="s">
        <v>12</v>
      </c>
      <c r="D431" s="12" t="s">
        <v>7</v>
      </c>
      <c r="E431" s="12">
        <v>2</v>
      </c>
      <c r="F431" s="12">
        <v>19521</v>
      </c>
      <c r="G431" s="12">
        <f t="shared" si="6"/>
        <v>39042</v>
      </c>
      <c r="H431" s="13">
        <v>46138</v>
      </c>
      <c r="I431" s="12" t="s">
        <v>64</v>
      </c>
      <c r="J431" s="12" t="s">
        <v>43</v>
      </c>
      <c r="K431" s="12">
        <v>4.5</v>
      </c>
    </row>
    <row r="432" spans="1:11">
      <c r="A432" s="12" t="s">
        <v>572</v>
      </c>
      <c r="B432" s="12" t="s">
        <v>205</v>
      </c>
      <c r="C432" s="12" t="s">
        <v>15</v>
      </c>
      <c r="D432" s="12" t="s">
        <v>7</v>
      </c>
      <c r="E432" s="12">
        <v>3</v>
      </c>
      <c r="F432" s="12">
        <v>5540</v>
      </c>
      <c r="G432" s="12">
        <f t="shared" si="6"/>
        <v>16620</v>
      </c>
      <c r="H432" s="13">
        <v>46177</v>
      </c>
      <c r="I432" s="12" t="s">
        <v>46</v>
      </c>
      <c r="J432" s="12" t="s">
        <v>43</v>
      </c>
      <c r="K432" s="12">
        <v>3.2</v>
      </c>
    </row>
    <row r="433" spans="1:11">
      <c r="A433" s="12" t="s">
        <v>573</v>
      </c>
      <c r="B433" s="12" t="s">
        <v>48</v>
      </c>
      <c r="C433" s="12" t="s">
        <v>13</v>
      </c>
      <c r="D433" s="12" t="s">
        <v>14</v>
      </c>
      <c r="E433" s="12">
        <v>3</v>
      </c>
      <c r="F433" s="12">
        <v>48589</v>
      </c>
      <c r="G433" s="12">
        <f t="shared" si="6"/>
        <v>145767</v>
      </c>
      <c r="H433" s="13">
        <v>46144</v>
      </c>
      <c r="I433" s="12" t="s">
        <v>49</v>
      </c>
      <c r="J433" s="12" t="s">
        <v>30</v>
      </c>
      <c r="K433" s="12">
        <v>3.3</v>
      </c>
    </row>
    <row r="434" spans="1:11">
      <c r="A434" s="12" t="s">
        <v>574</v>
      </c>
      <c r="B434" s="12" t="s">
        <v>93</v>
      </c>
      <c r="C434" s="12" t="s">
        <v>6</v>
      </c>
      <c r="D434" s="12" t="s">
        <v>7</v>
      </c>
      <c r="E434" s="12">
        <v>5</v>
      </c>
      <c r="F434" s="12">
        <v>9517</v>
      </c>
      <c r="G434" s="12">
        <f t="shared" si="6"/>
        <v>47585</v>
      </c>
      <c r="H434" s="13">
        <v>46172</v>
      </c>
      <c r="I434" s="12" t="s">
        <v>49</v>
      </c>
      <c r="J434" s="12" t="s">
        <v>43</v>
      </c>
      <c r="K434" s="12">
        <v>4.0999999999999996</v>
      </c>
    </row>
    <row r="435" spans="1:11">
      <c r="A435" s="12" t="s">
        <v>575</v>
      </c>
      <c r="B435" s="12" t="s">
        <v>51</v>
      </c>
      <c r="C435" s="12" t="s">
        <v>105</v>
      </c>
      <c r="D435" s="12" t="s">
        <v>106</v>
      </c>
      <c r="E435" s="12">
        <v>5</v>
      </c>
      <c r="F435" s="12">
        <v>12089</v>
      </c>
      <c r="G435" s="12">
        <f t="shared" si="6"/>
        <v>60445</v>
      </c>
      <c r="H435" s="13">
        <v>46172</v>
      </c>
      <c r="I435" s="12" t="s">
        <v>74</v>
      </c>
      <c r="J435" s="12" t="s">
        <v>8</v>
      </c>
      <c r="K435" s="12">
        <v>3.5</v>
      </c>
    </row>
    <row r="436" spans="1:11">
      <c r="A436" s="12" t="s">
        <v>576</v>
      </c>
      <c r="B436" s="12" t="s">
        <v>228</v>
      </c>
      <c r="C436" s="12" t="s">
        <v>59</v>
      </c>
      <c r="D436" s="12" t="s">
        <v>7</v>
      </c>
      <c r="E436" s="12">
        <v>3</v>
      </c>
      <c r="F436" s="12">
        <v>36958</v>
      </c>
      <c r="G436" s="12">
        <f t="shared" si="6"/>
        <v>110874</v>
      </c>
      <c r="H436" s="13">
        <v>46053</v>
      </c>
      <c r="I436" s="12" t="s">
        <v>9</v>
      </c>
      <c r="J436" s="12" t="s">
        <v>43</v>
      </c>
      <c r="K436" s="12">
        <v>4.5999999999999996</v>
      </c>
    </row>
    <row r="437" spans="1:11">
      <c r="A437" s="12" t="s">
        <v>577</v>
      </c>
      <c r="B437" s="12" t="s">
        <v>84</v>
      </c>
      <c r="C437" s="12" t="s">
        <v>13</v>
      </c>
      <c r="D437" s="12" t="s">
        <v>14</v>
      </c>
      <c r="E437" s="12">
        <v>4</v>
      </c>
      <c r="F437" s="12">
        <v>6299</v>
      </c>
      <c r="G437" s="12">
        <f t="shared" si="6"/>
        <v>25196</v>
      </c>
      <c r="H437" s="13">
        <v>46105</v>
      </c>
      <c r="I437" s="12" t="s">
        <v>35</v>
      </c>
      <c r="J437" s="12" t="s">
        <v>30</v>
      </c>
      <c r="K437" s="12">
        <v>4.5999999999999996</v>
      </c>
    </row>
    <row r="438" spans="1:11">
      <c r="A438" s="12" t="s">
        <v>578</v>
      </c>
      <c r="B438" s="12" t="s">
        <v>285</v>
      </c>
      <c r="C438" s="12" t="s">
        <v>79</v>
      </c>
      <c r="D438" s="12" t="s">
        <v>80</v>
      </c>
      <c r="E438" s="12">
        <v>1</v>
      </c>
      <c r="F438" s="12">
        <v>6669</v>
      </c>
      <c r="G438" s="12">
        <f t="shared" si="6"/>
        <v>6669</v>
      </c>
      <c r="H438" s="13">
        <v>46122</v>
      </c>
      <c r="I438" s="12" t="s">
        <v>9</v>
      </c>
      <c r="J438" s="12" t="s">
        <v>40</v>
      </c>
      <c r="K438" s="12">
        <v>3.3</v>
      </c>
    </row>
    <row r="439" spans="1:11">
      <c r="A439" s="12" t="s">
        <v>579</v>
      </c>
      <c r="B439" s="12" t="s">
        <v>372</v>
      </c>
      <c r="C439" s="12" t="s">
        <v>79</v>
      </c>
      <c r="D439" s="12" t="s">
        <v>80</v>
      </c>
      <c r="E439" s="12">
        <v>3</v>
      </c>
      <c r="F439" s="12">
        <v>14554</v>
      </c>
      <c r="G439" s="12">
        <f t="shared" si="6"/>
        <v>43662</v>
      </c>
      <c r="H439" s="13">
        <v>46043</v>
      </c>
      <c r="I439" s="12" t="s">
        <v>49</v>
      </c>
      <c r="J439" s="12" t="s">
        <v>40</v>
      </c>
      <c r="K439" s="12">
        <v>3.1</v>
      </c>
    </row>
    <row r="440" spans="1:11">
      <c r="A440" s="12" t="s">
        <v>580</v>
      </c>
      <c r="B440" s="12" t="s">
        <v>210</v>
      </c>
      <c r="C440" s="12" t="s">
        <v>79</v>
      </c>
      <c r="D440" s="12" t="s">
        <v>80</v>
      </c>
      <c r="E440" s="12">
        <v>2</v>
      </c>
      <c r="F440" s="12">
        <v>27412</v>
      </c>
      <c r="G440" s="12">
        <f t="shared" si="6"/>
        <v>54824</v>
      </c>
      <c r="H440" s="13">
        <v>46125</v>
      </c>
      <c r="I440" s="12" t="s">
        <v>74</v>
      </c>
      <c r="J440" s="12" t="s">
        <v>8</v>
      </c>
      <c r="K440" s="12">
        <v>3.2</v>
      </c>
    </row>
    <row r="441" spans="1:11">
      <c r="A441" s="12" t="s">
        <v>581</v>
      </c>
      <c r="B441" s="12" t="s">
        <v>387</v>
      </c>
      <c r="C441" s="12" t="s">
        <v>55</v>
      </c>
      <c r="D441" s="12" t="s">
        <v>56</v>
      </c>
      <c r="E441" s="12">
        <v>2</v>
      </c>
      <c r="F441" s="12">
        <v>47311</v>
      </c>
      <c r="G441" s="12">
        <f t="shared" si="6"/>
        <v>94622</v>
      </c>
      <c r="H441" s="13">
        <v>46184</v>
      </c>
      <c r="I441" s="12" t="s">
        <v>9</v>
      </c>
      <c r="J441" s="12" t="s">
        <v>30</v>
      </c>
      <c r="K441" s="12">
        <v>4</v>
      </c>
    </row>
    <row r="442" spans="1:11">
      <c r="A442" s="12" t="s">
        <v>582</v>
      </c>
      <c r="B442" s="12" t="s">
        <v>39</v>
      </c>
      <c r="C442" s="12" t="s">
        <v>55</v>
      </c>
      <c r="D442" s="12" t="s">
        <v>56</v>
      </c>
      <c r="E442" s="12">
        <v>4</v>
      </c>
      <c r="F442" s="12">
        <v>38602</v>
      </c>
      <c r="G442" s="12">
        <f t="shared" si="6"/>
        <v>154408</v>
      </c>
      <c r="H442" s="13">
        <v>46150</v>
      </c>
      <c r="I442" s="12" t="s">
        <v>35</v>
      </c>
      <c r="J442" s="12" t="s">
        <v>43</v>
      </c>
      <c r="K442" s="12">
        <v>3.5</v>
      </c>
    </row>
    <row r="443" spans="1:11">
      <c r="A443" s="12" t="s">
        <v>583</v>
      </c>
      <c r="B443" s="12" t="s">
        <v>387</v>
      </c>
      <c r="C443" s="12" t="s">
        <v>10</v>
      </c>
      <c r="D443" s="12" t="s">
        <v>11</v>
      </c>
      <c r="E443" s="12">
        <v>1</v>
      </c>
      <c r="F443" s="12">
        <v>28224</v>
      </c>
      <c r="G443" s="12">
        <f t="shared" si="6"/>
        <v>28224</v>
      </c>
      <c r="H443" s="13">
        <v>46130</v>
      </c>
      <c r="I443" s="12" t="s">
        <v>49</v>
      </c>
      <c r="J443" s="12" t="s">
        <v>65</v>
      </c>
      <c r="K443" s="12">
        <v>3.1</v>
      </c>
    </row>
    <row r="444" spans="1:11">
      <c r="A444" s="12" t="s">
        <v>584</v>
      </c>
      <c r="B444" s="12" t="s">
        <v>100</v>
      </c>
      <c r="C444" s="12" t="s">
        <v>6</v>
      </c>
      <c r="D444" s="12" t="s">
        <v>7</v>
      </c>
      <c r="E444" s="12">
        <v>1</v>
      </c>
      <c r="F444" s="12">
        <v>6748</v>
      </c>
      <c r="G444" s="12">
        <f t="shared" si="6"/>
        <v>6748</v>
      </c>
      <c r="H444" s="13">
        <v>46067</v>
      </c>
      <c r="I444" s="12" t="s">
        <v>9</v>
      </c>
      <c r="J444" s="12" t="s">
        <v>40</v>
      </c>
      <c r="K444" s="12">
        <v>3.7</v>
      </c>
    </row>
    <row r="445" spans="1:11">
      <c r="A445" s="12" t="s">
        <v>585</v>
      </c>
      <c r="B445" s="12" t="s">
        <v>98</v>
      </c>
      <c r="C445" s="12" t="s">
        <v>10</v>
      </c>
      <c r="D445" s="12" t="s">
        <v>11</v>
      </c>
      <c r="E445" s="12">
        <v>4</v>
      </c>
      <c r="F445" s="12">
        <v>1788</v>
      </c>
      <c r="G445" s="12">
        <f t="shared" si="6"/>
        <v>7152</v>
      </c>
      <c r="H445" s="13">
        <v>46104</v>
      </c>
      <c r="I445" s="12" t="s">
        <v>46</v>
      </c>
      <c r="J445" s="12" t="s">
        <v>30</v>
      </c>
      <c r="K445" s="12">
        <v>4</v>
      </c>
    </row>
    <row r="446" spans="1:11">
      <c r="A446" s="12" t="s">
        <v>586</v>
      </c>
      <c r="B446" s="12" t="s">
        <v>376</v>
      </c>
      <c r="C446" s="12" t="s">
        <v>79</v>
      </c>
      <c r="D446" s="12" t="s">
        <v>80</v>
      </c>
      <c r="E446" s="12">
        <v>3</v>
      </c>
      <c r="F446" s="12">
        <v>34171</v>
      </c>
      <c r="G446" s="12">
        <f t="shared" si="6"/>
        <v>102513</v>
      </c>
      <c r="H446" s="13">
        <v>46087</v>
      </c>
      <c r="I446" s="12" t="s">
        <v>9</v>
      </c>
      <c r="J446" s="12" t="s">
        <v>65</v>
      </c>
      <c r="K446" s="12">
        <v>4.4000000000000004</v>
      </c>
    </row>
    <row r="447" spans="1:11">
      <c r="A447" s="12" t="s">
        <v>587</v>
      </c>
      <c r="B447" s="12" t="s">
        <v>182</v>
      </c>
      <c r="C447" s="12" t="s">
        <v>52</v>
      </c>
      <c r="D447" s="12" t="s">
        <v>11</v>
      </c>
      <c r="E447" s="12">
        <v>5</v>
      </c>
      <c r="F447" s="12">
        <v>44579</v>
      </c>
      <c r="G447" s="12">
        <f t="shared" si="6"/>
        <v>222895</v>
      </c>
      <c r="H447" s="13">
        <v>46029</v>
      </c>
      <c r="I447" s="12" t="s">
        <v>46</v>
      </c>
      <c r="J447" s="12" t="s">
        <v>40</v>
      </c>
      <c r="K447" s="12">
        <v>4.2</v>
      </c>
    </row>
    <row r="448" spans="1:11">
      <c r="A448" s="12" t="s">
        <v>588</v>
      </c>
      <c r="B448" s="12" t="s">
        <v>520</v>
      </c>
      <c r="C448" s="12" t="s">
        <v>79</v>
      </c>
      <c r="D448" s="12" t="s">
        <v>80</v>
      </c>
      <c r="E448" s="12">
        <v>2</v>
      </c>
      <c r="F448" s="12">
        <v>2871</v>
      </c>
      <c r="G448" s="12">
        <f t="shared" si="6"/>
        <v>5742</v>
      </c>
      <c r="H448" s="13">
        <v>46167</v>
      </c>
      <c r="I448" s="12" t="s">
        <v>46</v>
      </c>
      <c r="J448" s="12" t="s">
        <v>43</v>
      </c>
      <c r="K448" s="12">
        <v>3.4</v>
      </c>
    </row>
    <row r="449" spans="1:11">
      <c r="A449" s="12" t="s">
        <v>589</v>
      </c>
      <c r="B449" s="12" t="s">
        <v>135</v>
      </c>
      <c r="C449" s="12" t="s">
        <v>79</v>
      </c>
      <c r="D449" s="12" t="s">
        <v>80</v>
      </c>
      <c r="E449" s="12">
        <v>4</v>
      </c>
      <c r="F449" s="12">
        <v>4127</v>
      </c>
      <c r="G449" s="12">
        <f t="shared" si="6"/>
        <v>16508</v>
      </c>
      <c r="H449" s="13">
        <v>46040</v>
      </c>
      <c r="I449" s="12" t="s">
        <v>35</v>
      </c>
      <c r="J449" s="12" t="s">
        <v>65</v>
      </c>
      <c r="K449" s="12">
        <v>3.8</v>
      </c>
    </row>
    <row r="450" spans="1:11">
      <c r="A450" s="12" t="s">
        <v>590</v>
      </c>
      <c r="B450" s="12" t="s">
        <v>376</v>
      </c>
      <c r="C450" s="12" t="s">
        <v>16</v>
      </c>
      <c r="D450" s="12" t="s">
        <v>14</v>
      </c>
      <c r="E450" s="12">
        <v>3</v>
      </c>
      <c r="F450" s="12">
        <v>23080</v>
      </c>
      <c r="G450" s="12">
        <f t="shared" si="6"/>
        <v>69240</v>
      </c>
      <c r="H450" s="13">
        <v>46176</v>
      </c>
      <c r="I450" s="12" t="s">
        <v>74</v>
      </c>
      <c r="J450" s="12" t="s">
        <v>65</v>
      </c>
      <c r="K450" s="12">
        <v>4.7</v>
      </c>
    </row>
    <row r="451" spans="1:11">
      <c r="A451" s="12" t="s">
        <v>591</v>
      </c>
      <c r="B451" s="12" t="s">
        <v>102</v>
      </c>
      <c r="C451" s="12" t="s">
        <v>16</v>
      </c>
      <c r="D451" s="12" t="s">
        <v>14</v>
      </c>
      <c r="E451" s="12">
        <v>1</v>
      </c>
      <c r="F451" s="12">
        <v>26109</v>
      </c>
      <c r="G451" s="12">
        <f t="shared" ref="G451:G501" si="7">SUM(F451*E451)</f>
        <v>26109</v>
      </c>
      <c r="H451" s="13">
        <v>46103</v>
      </c>
      <c r="I451" s="12" t="s">
        <v>9</v>
      </c>
      <c r="J451" s="12" t="s">
        <v>30</v>
      </c>
      <c r="K451" s="12">
        <v>4.8</v>
      </c>
    </row>
    <row r="452" spans="1:11">
      <c r="A452" s="12" t="s">
        <v>592</v>
      </c>
      <c r="B452" s="12" t="s">
        <v>267</v>
      </c>
      <c r="C452" s="12" t="s">
        <v>52</v>
      </c>
      <c r="D452" s="12" t="s">
        <v>11</v>
      </c>
      <c r="E452" s="12">
        <v>2</v>
      </c>
      <c r="F452" s="12">
        <v>43294</v>
      </c>
      <c r="G452" s="12">
        <f t="shared" si="7"/>
        <v>86588</v>
      </c>
      <c r="H452" s="13">
        <v>46108</v>
      </c>
      <c r="I452" s="12" t="s">
        <v>27</v>
      </c>
      <c r="J452" s="12" t="s">
        <v>65</v>
      </c>
      <c r="K452" s="12">
        <v>3.2</v>
      </c>
    </row>
    <row r="453" spans="1:11">
      <c r="A453" s="12" t="s">
        <v>593</v>
      </c>
      <c r="B453" s="12" t="s">
        <v>29</v>
      </c>
      <c r="C453" s="12" t="s">
        <v>13</v>
      </c>
      <c r="D453" s="12" t="s">
        <v>14</v>
      </c>
      <c r="E453" s="12">
        <v>2</v>
      </c>
      <c r="F453" s="12">
        <v>4365</v>
      </c>
      <c r="G453" s="12">
        <f t="shared" si="7"/>
        <v>8730</v>
      </c>
      <c r="H453" s="13">
        <v>46114</v>
      </c>
      <c r="I453" s="12" t="s">
        <v>46</v>
      </c>
      <c r="J453" s="12" t="s">
        <v>30</v>
      </c>
      <c r="K453" s="12">
        <v>4</v>
      </c>
    </row>
    <row r="454" spans="1:11">
      <c r="A454" s="12" t="s">
        <v>594</v>
      </c>
      <c r="B454" s="12" t="s">
        <v>122</v>
      </c>
      <c r="C454" s="12" t="s">
        <v>10</v>
      </c>
      <c r="D454" s="12" t="s">
        <v>11</v>
      </c>
      <c r="E454" s="12">
        <v>2</v>
      </c>
      <c r="F454" s="12">
        <v>24921</v>
      </c>
      <c r="G454" s="12">
        <f t="shared" si="7"/>
        <v>49842</v>
      </c>
      <c r="H454" s="13">
        <v>46117</v>
      </c>
      <c r="I454" s="12" t="s">
        <v>35</v>
      </c>
      <c r="J454" s="12" t="s">
        <v>40</v>
      </c>
      <c r="K454" s="12">
        <v>4</v>
      </c>
    </row>
    <row r="455" spans="1:11">
      <c r="A455" s="12" t="s">
        <v>595</v>
      </c>
      <c r="B455" s="12" t="s">
        <v>225</v>
      </c>
      <c r="C455" s="12" t="s">
        <v>12</v>
      </c>
      <c r="D455" s="12" t="s">
        <v>7</v>
      </c>
      <c r="E455" s="12">
        <v>1</v>
      </c>
      <c r="F455" s="12">
        <v>4584</v>
      </c>
      <c r="G455" s="12">
        <f t="shared" si="7"/>
        <v>4584</v>
      </c>
      <c r="H455" s="13">
        <v>46159</v>
      </c>
      <c r="I455" s="12" t="s">
        <v>64</v>
      </c>
      <c r="J455" s="12" t="s">
        <v>43</v>
      </c>
      <c r="K455" s="12">
        <v>3</v>
      </c>
    </row>
    <row r="456" spans="1:11">
      <c r="A456" s="12" t="s">
        <v>596</v>
      </c>
      <c r="B456" s="12" t="s">
        <v>205</v>
      </c>
      <c r="C456" s="12" t="s">
        <v>52</v>
      </c>
      <c r="D456" s="12" t="s">
        <v>11</v>
      </c>
      <c r="E456" s="12">
        <v>5</v>
      </c>
      <c r="F456" s="12">
        <v>20166</v>
      </c>
      <c r="G456" s="12">
        <f t="shared" si="7"/>
        <v>100830</v>
      </c>
      <c r="H456" s="13">
        <v>46129</v>
      </c>
      <c r="I456" s="12" t="s">
        <v>64</v>
      </c>
      <c r="J456" s="12" t="s">
        <v>40</v>
      </c>
      <c r="K456" s="12">
        <v>3.7</v>
      </c>
    </row>
    <row r="457" spans="1:11">
      <c r="A457" s="12" t="s">
        <v>597</v>
      </c>
      <c r="B457" s="12" t="s">
        <v>69</v>
      </c>
      <c r="C457" s="12" t="s">
        <v>10</v>
      </c>
      <c r="D457" s="12" t="s">
        <v>11</v>
      </c>
      <c r="E457" s="12">
        <v>4</v>
      </c>
      <c r="F457" s="12">
        <v>47216</v>
      </c>
      <c r="G457" s="12">
        <f t="shared" si="7"/>
        <v>188864</v>
      </c>
      <c r="H457" s="13">
        <v>46027</v>
      </c>
      <c r="I457" s="12" t="s">
        <v>64</v>
      </c>
      <c r="J457" s="12" t="s">
        <v>8</v>
      </c>
      <c r="K457" s="12">
        <v>3.4</v>
      </c>
    </row>
    <row r="458" spans="1:11">
      <c r="A458" s="12" t="s">
        <v>598</v>
      </c>
      <c r="B458" s="12" t="s">
        <v>384</v>
      </c>
      <c r="C458" s="12" t="s">
        <v>79</v>
      </c>
      <c r="D458" s="12" t="s">
        <v>80</v>
      </c>
      <c r="E458" s="12">
        <v>2</v>
      </c>
      <c r="F458" s="12">
        <v>21403</v>
      </c>
      <c r="G458" s="12">
        <f t="shared" si="7"/>
        <v>42806</v>
      </c>
      <c r="H458" s="13">
        <v>46030</v>
      </c>
      <c r="I458" s="12" t="s">
        <v>9</v>
      </c>
      <c r="J458" s="12" t="s">
        <v>40</v>
      </c>
      <c r="K458" s="12">
        <v>4.7</v>
      </c>
    </row>
    <row r="459" spans="1:11">
      <c r="A459" s="12" t="s">
        <v>599</v>
      </c>
      <c r="B459" s="12" t="s">
        <v>363</v>
      </c>
      <c r="C459" s="12" t="s">
        <v>12</v>
      </c>
      <c r="D459" s="12" t="s">
        <v>7</v>
      </c>
      <c r="E459" s="12">
        <v>2</v>
      </c>
      <c r="F459" s="12">
        <v>21839</v>
      </c>
      <c r="G459" s="12">
        <f t="shared" si="7"/>
        <v>43678</v>
      </c>
      <c r="H459" s="13">
        <v>46163</v>
      </c>
      <c r="I459" s="12" t="s">
        <v>46</v>
      </c>
      <c r="J459" s="12" t="s">
        <v>8</v>
      </c>
      <c r="K459" s="12">
        <v>4.8</v>
      </c>
    </row>
    <row r="460" spans="1:11">
      <c r="A460" s="12" t="s">
        <v>600</v>
      </c>
      <c r="B460" s="12" t="s">
        <v>102</v>
      </c>
      <c r="C460" s="12" t="s">
        <v>12</v>
      </c>
      <c r="D460" s="12" t="s">
        <v>7</v>
      </c>
      <c r="E460" s="12">
        <v>4</v>
      </c>
      <c r="F460" s="12">
        <v>24704</v>
      </c>
      <c r="G460" s="12">
        <f t="shared" si="7"/>
        <v>98816</v>
      </c>
      <c r="H460" s="13">
        <v>46119</v>
      </c>
      <c r="I460" s="12" t="s">
        <v>64</v>
      </c>
      <c r="J460" s="12" t="s">
        <v>65</v>
      </c>
      <c r="K460" s="12">
        <v>3.5</v>
      </c>
    </row>
    <row r="461" spans="1:11">
      <c r="A461" s="12" t="s">
        <v>601</v>
      </c>
      <c r="B461" s="12" t="s">
        <v>213</v>
      </c>
      <c r="C461" s="12" t="s">
        <v>55</v>
      </c>
      <c r="D461" s="12" t="s">
        <v>56</v>
      </c>
      <c r="E461" s="12">
        <v>3</v>
      </c>
      <c r="F461" s="12">
        <v>47795</v>
      </c>
      <c r="G461" s="12">
        <f t="shared" si="7"/>
        <v>143385</v>
      </c>
      <c r="H461" s="13">
        <v>46136</v>
      </c>
      <c r="I461" s="12" t="s">
        <v>49</v>
      </c>
      <c r="J461" s="12" t="s">
        <v>40</v>
      </c>
      <c r="K461" s="12">
        <v>4.3</v>
      </c>
    </row>
    <row r="462" spans="1:11">
      <c r="A462" s="12" t="s">
        <v>602</v>
      </c>
      <c r="B462" s="12" t="s">
        <v>213</v>
      </c>
      <c r="C462" s="12" t="s">
        <v>6</v>
      </c>
      <c r="D462" s="12" t="s">
        <v>7</v>
      </c>
      <c r="E462" s="12">
        <v>5</v>
      </c>
      <c r="F462" s="12">
        <v>1675</v>
      </c>
      <c r="G462" s="12">
        <f t="shared" si="7"/>
        <v>8375</v>
      </c>
      <c r="H462" s="13">
        <v>46024</v>
      </c>
      <c r="I462" s="12" t="s">
        <v>64</v>
      </c>
      <c r="J462" s="12" t="s">
        <v>8</v>
      </c>
      <c r="K462" s="12">
        <v>3.3</v>
      </c>
    </row>
    <row r="463" spans="1:11">
      <c r="A463" s="12" t="s">
        <v>603</v>
      </c>
      <c r="B463" s="12" t="s">
        <v>100</v>
      </c>
      <c r="C463" s="12" t="s">
        <v>55</v>
      </c>
      <c r="D463" s="12" t="s">
        <v>56</v>
      </c>
      <c r="E463" s="12">
        <v>4</v>
      </c>
      <c r="F463" s="12">
        <v>20913</v>
      </c>
      <c r="G463" s="12">
        <f t="shared" si="7"/>
        <v>83652</v>
      </c>
      <c r="H463" s="13">
        <v>46157</v>
      </c>
      <c r="I463" s="12" t="s">
        <v>46</v>
      </c>
      <c r="J463" s="12" t="s">
        <v>8</v>
      </c>
      <c r="K463" s="12">
        <v>4.4000000000000004</v>
      </c>
    </row>
    <row r="464" spans="1:11">
      <c r="A464" s="12" t="s">
        <v>604</v>
      </c>
      <c r="B464" s="12" t="s">
        <v>124</v>
      </c>
      <c r="C464" s="12" t="s">
        <v>12</v>
      </c>
      <c r="D464" s="12" t="s">
        <v>7</v>
      </c>
      <c r="E464" s="12">
        <v>3</v>
      </c>
      <c r="F464" s="12">
        <v>29849</v>
      </c>
      <c r="G464" s="12">
        <f t="shared" si="7"/>
        <v>89547</v>
      </c>
      <c r="H464" s="13">
        <v>46139</v>
      </c>
      <c r="I464" s="12" t="s">
        <v>27</v>
      </c>
      <c r="J464" s="12" t="s">
        <v>40</v>
      </c>
      <c r="K464" s="12">
        <v>4.5</v>
      </c>
    </row>
    <row r="465" spans="1:11">
      <c r="A465" s="12" t="s">
        <v>605</v>
      </c>
      <c r="B465" s="12" t="s">
        <v>190</v>
      </c>
      <c r="C465" s="12" t="s">
        <v>10</v>
      </c>
      <c r="D465" s="12" t="s">
        <v>11</v>
      </c>
      <c r="E465" s="12">
        <v>1</v>
      </c>
      <c r="F465" s="12">
        <v>48327</v>
      </c>
      <c r="G465" s="12">
        <f t="shared" si="7"/>
        <v>48327</v>
      </c>
      <c r="H465" s="13">
        <v>46124</v>
      </c>
      <c r="I465" s="12" t="s">
        <v>64</v>
      </c>
      <c r="J465" s="12" t="s">
        <v>65</v>
      </c>
      <c r="K465" s="12">
        <v>4.7</v>
      </c>
    </row>
    <row r="466" spans="1:11">
      <c r="A466" s="12" t="s">
        <v>606</v>
      </c>
      <c r="B466" s="12" t="s">
        <v>190</v>
      </c>
      <c r="C466" s="12" t="s">
        <v>15</v>
      </c>
      <c r="D466" s="12" t="s">
        <v>7</v>
      </c>
      <c r="E466" s="12">
        <v>3</v>
      </c>
      <c r="F466" s="12">
        <v>30609</v>
      </c>
      <c r="G466" s="12">
        <f t="shared" si="7"/>
        <v>91827</v>
      </c>
      <c r="H466" s="13">
        <v>46077</v>
      </c>
      <c r="I466" s="12" t="s">
        <v>74</v>
      </c>
      <c r="J466" s="12" t="s">
        <v>8</v>
      </c>
      <c r="K466" s="12">
        <v>4.8</v>
      </c>
    </row>
    <row r="467" spans="1:11">
      <c r="A467" s="12" t="s">
        <v>607</v>
      </c>
      <c r="B467" s="12" t="s">
        <v>51</v>
      </c>
      <c r="C467" s="12" t="s">
        <v>6</v>
      </c>
      <c r="D467" s="12" t="s">
        <v>7</v>
      </c>
      <c r="E467" s="12">
        <v>1</v>
      </c>
      <c r="F467" s="12">
        <v>14184</v>
      </c>
      <c r="G467" s="12">
        <f t="shared" si="7"/>
        <v>14184</v>
      </c>
      <c r="H467" s="13">
        <v>46166</v>
      </c>
      <c r="I467" s="12" t="s">
        <v>64</v>
      </c>
      <c r="J467" s="12" t="s">
        <v>65</v>
      </c>
      <c r="K467" s="12">
        <v>4.8</v>
      </c>
    </row>
    <row r="468" spans="1:11">
      <c r="A468" s="12" t="s">
        <v>608</v>
      </c>
      <c r="B468" s="12" t="s">
        <v>257</v>
      </c>
      <c r="C468" s="12" t="s">
        <v>13</v>
      </c>
      <c r="D468" s="12" t="s">
        <v>14</v>
      </c>
      <c r="E468" s="12">
        <v>1</v>
      </c>
      <c r="F468" s="12">
        <v>2110</v>
      </c>
      <c r="G468" s="12">
        <f t="shared" si="7"/>
        <v>2110</v>
      </c>
      <c r="H468" s="13">
        <v>46033</v>
      </c>
      <c r="I468" s="12" t="s">
        <v>64</v>
      </c>
      <c r="J468" s="12" t="s">
        <v>30</v>
      </c>
      <c r="K468" s="12">
        <v>4.8</v>
      </c>
    </row>
    <row r="469" spans="1:11">
      <c r="A469" s="12" t="s">
        <v>609</v>
      </c>
      <c r="B469" s="12" t="s">
        <v>203</v>
      </c>
      <c r="C469" s="12" t="s">
        <v>26</v>
      </c>
      <c r="D469" s="12" t="s">
        <v>7</v>
      </c>
      <c r="E469" s="12">
        <v>3</v>
      </c>
      <c r="F469" s="12">
        <v>37417</v>
      </c>
      <c r="G469" s="12">
        <f t="shared" si="7"/>
        <v>112251</v>
      </c>
      <c r="H469" s="13">
        <v>46115</v>
      </c>
      <c r="I469" s="12" t="s">
        <v>74</v>
      </c>
      <c r="J469" s="12" t="s">
        <v>40</v>
      </c>
      <c r="K469" s="12">
        <v>3.3</v>
      </c>
    </row>
    <row r="470" spans="1:11">
      <c r="A470" s="12" t="s">
        <v>610</v>
      </c>
      <c r="B470" s="12" t="s">
        <v>267</v>
      </c>
      <c r="C470" s="12" t="s">
        <v>105</v>
      </c>
      <c r="D470" s="12" t="s">
        <v>106</v>
      </c>
      <c r="E470" s="12">
        <v>3</v>
      </c>
      <c r="F470" s="12">
        <v>13906</v>
      </c>
      <c r="G470" s="12">
        <f t="shared" si="7"/>
        <v>41718</v>
      </c>
      <c r="H470" s="13">
        <v>46168</v>
      </c>
      <c r="I470" s="12" t="s">
        <v>74</v>
      </c>
      <c r="J470" s="12" t="s">
        <v>30</v>
      </c>
      <c r="K470" s="12">
        <v>3.8</v>
      </c>
    </row>
    <row r="471" spans="1:11">
      <c r="A471" s="12" t="s">
        <v>611</v>
      </c>
      <c r="B471" s="12" t="s">
        <v>205</v>
      </c>
      <c r="C471" s="12" t="s">
        <v>12</v>
      </c>
      <c r="D471" s="12" t="s">
        <v>7</v>
      </c>
      <c r="E471" s="12">
        <v>3</v>
      </c>
      <c r="F471" s="12">
        <v>8085</v>
      </c>
      <c r="G471" s="12">
        <f t="shared" si="7"/>
        <v>24255</v>
      </c>
      <c r="H471" s="13">
        <v>46110</v>
      </c>
      <c r="I471" s="12" t="s">
        <v>74</v>
      </c>
      <c r="J471" s="12" t="s">
        <v>40</v>
      </c>
      <c r="K471" s="12">
        <v>3</v>
      </c>
    </row>
    <row r="472" spans="1:11">
      <c r="A472" s="12" t="s">
        <v>612</v>
      </c>
      <c r="B472" s="12" t="s">
        <v>376</v>
      </c>
      <c r="C472" s="12" t="s">
        <v>79</v>
      </c>
      <c r="D472" s="12" t="s">
        <v>80</v>
      </c>
      <c r="E472" s="12">
        <v>5</v>
      </c>
      <c r="F472" s="12">
        <v>42695</v>
      </c>
      <c r="G472" s="12">
        <f t="shared" si="7"/>
        <v>213475</v>
      </c>
      <c r="H472" s="13">
        <v>46095</v>
      </c>
      <c r="I472" s="12" t="s">
        <v>9</v>
      </c>
      <c r="J472" s="12" t="s">
        <v>8</v>
      </c>
      <c r="K472" s="12">
        <v>5</v>
      </c>
    </row>
    <row r="473" spans="1:11">
      <c r="A473" s="12" t="s">
        <v>613</v>
      </c>
      <c r="B473" s="12" t="s">
        <v>293</v>
      </c>
      <c r="C473" s="12" t="s">
        <v>16</v>
      </c>
      <c r="D473" s="12" t="s">
        <v>14</v>
      </c>
      <c r="E473" s="12">
        <v>3</v>
      </c>
      <c r="F473" s="12">
        <v>4794</v>
      </c>
      <c r="G473" s="12">
        <f t="shared" si="7"/>
        <v>14382</v>
      </c>
      <c r="H473" s="13">
        <v>46035</v>
      </c>
      <c r="I473" s="12" t="s">
        <v>35</v>
      </c>
      <c r="J473" s="12" t="s">
        <v>65</v>
      </c>
      <c r="K473" s="12">
        <v>3</v>
      </c>
    </row>
    <row r="474" spans="1:11">
      <c r="A474" s="12" t="s">
        <v>614</v>
      </c>
      <c r="B474" s="12" t="s">
        <v>237</v>
      </c>
      <c r="C474" s="12" t="s">
        <v>52</v>
      </c>
      <c r="D474" s="12" t="s">
        <v>11</v>
      </c>
      <c r="E474" s="12">
        <v>1</v>
      </c>
      <c r="F474" s="12">
        <v>17961</v>
      </c>
      <c r="G474" s="12">
        <f t="shared" si="7"/>
        <v>17961</v>
      </c>
      <c r="H474" s="13">
        <v>46048</v>
      </c>
      <c r="I474" s="12" t="s">
        <v>46</v>
      </c>
      <c r="J474" s="12" t="s">
        <v>43</v>
      </c>
      <c r="K474" s="12">
        <v>4.7</v>
      </c>
    </row>
    <row r="475" spans="1:11">
      <c r="A475" s="12" t="s">
        <v>615</v>
      </c>
      <c r="B475" s="12" t="s">
        <v>186</v>
      </c>
      <c r="C475" s="12" t="s">
        <v>55</v>
      </c>
      <c r="D475" s="12" t="s">
        <v>56</v>
      </c>
      <c r="E475" s="12">
        <v>2</v>
      </c>
      <c r="F475" s="12">
        <v>18761</v>
      </c>
      <c r="G475" s="12">
        <f t="shared" si="7"/>
        <v>37522</v>
      </c>
      <c r="H475" s="13">
        <v>46030</v>
      </c>
      <c r="I475" s="12" t="s">
        <v>9</v>
      </c>
      <c r="J475" s="12" t="s">
        <v>65</v>
      </c>
      <c r="K475" s="12">
        <v>4.7</v>
      </c>
    </row>
    <row r="476" spans="1:11">
      <c r="A476" s="12" t="s">
        <v>616</v>
      </c>
      <c r="B476" s="12" t="s">
        <v>102</v>
      </c>
      <c r="C476" s="12" t="s">
        <v>52</v>
      </c>
      <c r="D476" s="12" t="s">
        <v>11</v>
      </c>
      <c r="E476" s="12">
        <v>2</v>
      </c>
      <c r="F476" s="12">
        <v>37870</v>
      </c>
      <c r="G476" s="12">
        <f t="shared" si="7"/>
        <v>75740</v>
      </c>
      <c r="H476" s="13">
        <v>46161</v>
      </c>
      <c r="I476" s="12" t="s">
        <v>64</v>
      </c>
      <c r="J476" s="12" t="s">
        <v>8</v>
      </c>
      <c r="K476" s="12">
        <v>3.8</v>
      </c>
    </row>
    <row r="477" spans="1:11">
      <c r="A477" s="12" t="s">
        <v>617</v>
      </c>
      <c r="B477" s="12" t="s">
        <v>147</v>
      </c>
      <c r="C477" s="12" t="s">
        <v>10</v>
      </c>
      <c r="D477" s="12" t="s">
        <v>11</v>
      </c>
      <c r="E477" s="12">
        <v>2</v>
      </c>
      <c r="F477" s="12">
        <v>752</v>
      </c>
      <c r="G477" s="12">
        <f t="shared" si="7"/>
        <v>1504</v>
      </c>
      <c r="H477" s="13">
        <v>46116</v>
      </c>
      <c r="I477" s="12" t="s">
        <v>27</v>
      </c>
      <c r="J477" s="12" t="s">
        <v>30</v>
      </c>
      <c r="K477" s="12">
        <v>3.7</v>
      </c>
    </row>
    <row r="478" spans="1:11">
      <c r="A478" s="12" t="s">
        <v>618</v>
      </c>
      <c r="B478" s="12" t="s">
        <v>122</v>
      </c>
      <c r="C478" s="12" t="s">
        <v>59</v>
      </c>
      <c r="D478" s="12" t="s">
        <v>7</v>
      </c>
      <c r="E478" s="12">
        <v>1</v>
      </c>
      <c r="F478" s="12">
        <v>31143</v>
      </c>
      <c r="G478" s="12">
        <f t="shared" si="7"/>
        <v>31143</v>
      </c>
      <c r="H478" s="13">
        <v>46159</v>
      </c>
      <c r="I478" s="12" t="s">
        <v>9</v>
      </c>
      <c r="J478" s="12" t="s">
        <v>40</v>
      </c>
      <c r="K478" s="12">
        <v>4.7</v>
      </c>
    </row>
    <row r="479" spans="1:11">
      <c r="A479" s="12" t="s">
        <v>619</v>
      </c>
      <c r="B479" s="12" t="s">
        <v>173</v>
      </c>
      <c r="C479" s="12" t="s">
        <v>105</v>
      </c>
      <c r="D479" s="12" t="s">
        <v>106</v>
      </c>
      <c r="E479" s="12">
        <v>1</v>
      </c>
      <c r="F479" s="12">
        <v>4338</v>
      </c>
      <c r="G479" s="12">
        <f t="shared" si="7"/>
        <v>4338</v>
      </c>
      <c r="H479" s="13">
        <v>46145</v>
      </c>
      <c r="I479" s="12" t="s">
        <v>46</v>
      </c>
      <c r="J479" s="12" t="s">
        <v>43</v>
      </c>
      <c r="K479" s="12">
        <v>4</v>
      </c>
    </row>
    <row r="480" spans="1:11">
      <c r="A480" s="12" t="s">
        <v>620</v>
      </c>
      <c r="B480" s="12" t="s">
        <v>119</v>
      </c>
      <c r="C480" s="12" t="s">
        <v>15</v>
      </c>
      <c r="D480" s="12" t="s">
        <v>7</v>
      </c>
      <c r="E480" s="12">
        <v>3</v>
      </c>
      <c r="F480" s="12">
        <v>47266</v>
      </c>
      <c r="G480" s="12">
        <f t="shared" si="7"/>
        <v>141798</v>
      </c>
      <c r="H480" s="13">
        <v>46144</v>
      </c>
      <c r="I480" s="12" t="s">
        <v>64</v>
      </c>
      <c r="J480" s="12" t="s">
        <v>8</v>
      </c>
      <c r="K480" s="12">
        <v>3.5</v>
      </c>
    </row>
    <row r="481" spans="1:11">
      <c r="A481" s="12" t="s">
        <v>621</v>
      </c>
      <c r="B481" s="12" t="s">
        <v>163</v>
      </c>
      <c r="C481" s="12" t="s">
        <v>26</v>
      </c>
      <c r="D481" s="12" t="s">
        <v>7</v>
      </c>
      <c r="E481" s="12">
        <v>1</v>
      </c>
      <c r="F481" s="12">
        <v>19616</v>
      </c>
      <c r="G481" s="12">
        <f t="shared" si="7"/>
        <v>19616</v>
      </c>
      <c r="H481" s="13">
        <v>46104</v>
      </c>
      <c r="I481" s="12" t="s">
        <v>27</v>
      </c>
      <c r="J481" s="12" t="s">
        <v>65</v>
      </c>
      <c r="K481" s="12">
        <v>3.4</v>
      </c>
    </row>
    <row r="482" spans="1:11">
      <c r="A482" s="12" t="s">
        <v>622</v>
      </c>
      <c r="B482" s="12" t="s">
        <v>248</v>
      </c>
      <c r="C482" s="12" t="s">
        <v>13</v>
      </c>
      <c r="D482" s="12" t="s">
        <v>14</v>
      </c>
      <c r="E482" s="12">
        <v>3</v>
      </c>
      <c r="F482" s="12">
        <v>35247</v>
      </c>
      <c r="G482" s="12">
        <f t="shared" si="7"/>
        <v>105741</v>
      </c>
      <c r="H482" s="13">
        <v>46028</v>
      </c>
      <c r="I482" s="12" t="s">
        <v>74</v>
      </c>
      <c r="J482" s="12" t="s">
        <v>40</v>
      </c>
      <c r="K482" s="12">
        <v>3.4</v>
      </c>
    </row>
    <row r="483" spans="1:11">
      <c r="A483" s="12" t="s">
        <v>623</v>
      </c>
      <c r="B483" s="12" t="s">
        <v>54</v>
      </c>
      <c r="C483" s="12" t="s">
        <v>16</v>
      </c>
      <c r="D483" s="12" t="s">
        <v>14</v>
      </c>
      <c r="E483" s="12">
        <v>2</v>
      </c>
      <c r="F483" s="12">
        <v>14056</v>
      </c>
      <c r="G483" s="12">
        <f t="shared" si="7"/>
        <v>28112</v>
      </c>
      <c r="H483" s="13">
        <v>46054</v>
      </c>
      <c r="I483" s="12" t="s">
        <v>9</v>
      </c>
      <c r="J483" s="12" t="s">
        <v>65</v>
      </c>
      <c r="K483" s="12">
        <v>4.2</v>
      </c>
    </row>
    <row r="484" spans="1:11">
      <c r="A484" s="12" t="s">
        <v>624</v>
      </c>
      <c r="B484" s="12" t="s">
        <v>157</v>
      </c>
      <c r="C484" s="12" t="s">
        <v>105</v>
      </c>
      <c r="D484" s="12" t="s">
        <v>106</v>
      </c>
      <c r="E484" s="12">
        <v>5</v>
      </c>
      <c r="F484" s="12">
        <v>10710</v>
      </c>
      <c r="G484" s="12">
        <f t="shared" si="7"/>
        <v>53550</v>
      </c>
      <c r="H484" s="13">
        <v>46183</v>
      </c>
      <c r="I484" s="12" t="s">
        <v>74</v>
      </c>
      <c r="J484" s="12" t="s">
        <v>30</v>
      </c>
      <c r="K484" s="12">
        <v>3.9</v>
      </c>
    </row>
    <row r="485" spans="1:11">
      <c r="A485" s="12" t="s">
        <v>625</v>
      </c>
      <c r="B485" s="12" t="s">
        <v>173</v>
      </c>
      <c r="C485" s="12" t="s">
        <v>12</v>
      </c>
      <c r="D485" s="12" t="s">
        <v>7</v>
      </c>
      <c r="E485" s="12">
        <v>2</v>
      </c>
      <c r="F485" s="12">
        <v>22345</v>
      </c>
      <c r="G485" s="12">
        <f t="shared" si="7"/>
        <v>44690</v>
      </c>
      <c r="H485" s="13">
        <v>46154</v>
      </c>
      <c r="I485" s="12" t="s">
        <v>49</v>
      </c>
      <c r="J485" s="12" t="s">
        <v>8</v>
      </c>
      <c r="K485" s="12">
        <v>4.2</v>
      </c>
    </row>
    <row r="486" spans="1:11">
      <c r="A486" s="12" t="s">
        <v>626</v>
      </c>
      <c r="B486" s="12" t="s">
        <v>25</v>
      </c>
      <c r="C486" s="12" t="s">
        <v>59</v>
      </c>
      <c r="D486" s="12" t="s">
        <v>7</v>
      </c>
      <c r="E486" s="12">
        <v>2</v>
      </c>
      <c r="F486" s="12">
        <v>15713</v>
      </c>
      <c r="G486" s="12">
        <f t="shared" si="7"/>
        <v>31426</v>
      </c>
      <c r="H486" s="13">
        <v>46082</v>
      </c>
      <c r="I486" s="12" t="s">
        <v>9</v>
      </c>
      <c r="J486" s="12" t="s">
        <v>40</v>
      </c>
      <c r="K486" s="12">
        <v>3.7</v>
      </c>
    </row>
    <row r="487" spans="1:11">
      <c r="A487" s="12" t="s">
        <v>627</v>
      </c>
      <c r="B487" s="12" t="s">
        <v>264</v>
      </c>
      <c r="C487" s="12" t="s">
        <v>6</v>
      </c>
      <c r="D487" s="12" t="s">
        <v>7</v>
      </c>
      <c r="E487" s="12">
        <v>1</v>
      </c>
      <c r="F487" s="12">
        <v>30560</v>
      </c>
      <c r="G487" s="12">
        <f t="shared" si="7"/>
        <v>30560</v>
      </c>
      <c r="H487" s="13">
        <v>46147</v>
      </c>
      <c r="I487" s="12" t="s">
        <v>64</v>
      </c>
      <c r="J487" s="12" t="s">
        <v>8</v>
      </c>
      <c r="K487" s="12">
        <v>3.7</v>
      </c>
    </row>
    <row r="488" spans="1:11">
      <c r="A488" s="12" t="s">
        <v>628</v>
      </c>
      <c r="B488" s="12" t="s">
        <v>93</v>
      </c>
      <c r="C488" s="12" t="s">
        <v>15</v>
      </c>
      <c r="D488" s="12" t="s">
        <v>7</v>
      </c>
      <c r="E488" s="12">
        <v>5</v>
      </c>
      <c r="F488" s="12">
        <v>14259</v>
      </c>
      <c r="G488" s="12">
        <f t="shared" si="7"/>
        <v>71295</v>
      </c>
      <c r="H488" s="13">
        <v>46065</v>
      </c>
      <c r="I488" s="12" t="s">
        <v>46</v>
      </c>
      <c r="J488" s="12" t="s">
        <v>65</v>
      </c>
      <c r="K488" s="12">
        <v>3.7</v>
      </c>
    </row>
    <row r="489" spans="1:11">
      <c r="A489" s="12" t="s">
        <v>629</v>
      </c>
      <c r="B489" s="12" t="s">
        <v>78</v>
      </c>
      <c r="C489" s="12" t="s">
        <v>52</v>
      </c>
      <c r="D489" s="12" t="s">
        <v>11</v>
      </c>
      <c r="E489" s="12">
        <v>2</v>
      </c>
      <c r="F489" s="12">
        <v>13417</v>
      </c>
      <c r="G489" s="12">
        <f t="shared" si="7"/>
        <v>26834</v>
      </c>
      <c r="H489" s="13">
        <v>46152</v>
      </c>
      <c r="I489" s="12" t="s">
        <v>46</v>
      </c>
      <c r="J489" s="12" t="s">
        <v>65</v>
      </c>
      <c r="K489" s="12">
        <v>3.5</v>
      </c>
    </row>
    <row r="490" spans="1:11">
      <c r="A490" s="12" t="s">
        <v>630</v>
      </c>
      <c r="B490" s="12" t="s">
        <v>82</v>
      </c>
      <c r="C490" s="12" t="s">
        <v>52</v>
      </c>
      <c r="D490" s="12" t="s">
        <v>11</v>
      </c>
      <c r="E490" s="12">
        <v>1</v>
      </c>
      <c r="F490" s="12">
        <v>39101</v>
      </c>
      <c r="G490" s="12">
        <f t="shared" si="7"/>
        <v>39101</v>
      </c>
      <c r="H490" s="13">
        <v>46049</v>
      </c>
      <c r="I490" s="12" t="s">
        <v>49</v>
      </c>
      <c r="J490" s="12" t="s">
        <v>40</v>
      </c>
      <c r="K490" s="12">
        <v>4.7</v>
      </c>
    </row>
    <row r="491" spans="1:11">
      <c r="A491" s="12" t="s">
        <v>631</v>
      </c>
      <c r="B491" s="12" t="s">
        <v>283</v>
      </c>
      <c r="C491" s="12" t="s">
        <v>13</v>
      </c>
      <c r="D491" s="12" t="s">
        <v>14</v>
      </c>
      <c r="E491" s="12">
        <v>5</v>
      </c>
      <c r="F491" s="12">
        <v>5574</v>
      </c>
      <c r="G491" s="12">
        <f t="shared" si="7"/>
        <v>27870</v>
      </c>
      <c r="H491" s="13">
        <v>46101</v>
      </c>
      <c r="I491" s="12" t="s">
        <v>64</v>
      </c>
      <c r="J491" s="12" t="s">
        <v>8</v>
      </c>
      <c r="K491" s="12">
        <v>4.0999999999999996</v>
      </c>
    </row>
    <row r="492" spans="1:11">
      <c r="A492" s="12" t="s">
        <v>632</v>
      </c>
      <c r="B492" s="12" t="s">
        <v>384</v>
      </c>
      <c r="C492" s="12" t="s">
        <v>6</v>
      </c>
      <c r="D492" s="12" t="s">
        <v>7</v>
      </c>
      <c r="E492" s="12">
        <v>1</v>
      </c>
      <c r="F492" s="12">
        <v>23378</v>
      </c>
      <c r="G492" s="12">
        <f t="shared" si="7"/>
        <v>23378</v>
      </c>
      <c r="H492" s="13">
        <v>46136</v>
      </c>
      <c r="I492" s="12" t="s">
        <v>49</v>
      </c>
      <c r="J492" s="12" t="s">
        <v>65</v>
      </c>
      <c r="K492" s="12">
        <v>3.7</v>
      </c>
    </row>
    <row r="493" spans="1:11">
      <c r="A493" s="12" t="s">
        <v>633</v>
      </c>
      <c r="B493" s="12" t="s">
        <v>122</v>
      </c>
      <c r="C493" s="12" t="s">
        <v>6</v>
      </c>
      <c r="D493" s="12" t="s">
        <v>7</v>
      </c>
      <c r="E493" s="12">
        <v>2</v>
      </c>
      <c r="F493" s="12">
        <v>45472</v>
      </c>
      <c r="G493" s="12">
        <f t="shared" si="7"/>
        <v>90944</v>
      </c>
      <c r="H493" s="13">
        <v>46117</v>
      </c>
      <c r="I493" s="12" t="s">
        <v>46</v>
      </c>
      <c r="J493" s="12" t="s">
        <v>8</v>
      </c>
      <c r="K493" s="12">
        <v>4.4000000000000004</v>
      </c>
    </row>
    <row r="494" spans="1:11">
      <c r="A494" s="12" t="s">
        <v>634</v>
      </c>
      <c r="B494" s="12" t="s">
        <v>348</v>
      </c>
      <c r="C494" s="12" t="s">
        <v>13</v>
      </c>
      <c r="D494" s="12" t="s">
        <v>14</v>
      </c>
      <c r="E494" s="12">
        <v>1</v>
      </c>
      <c r="F494" s="12">
        <v>6902</v>
      </c>
      <c r="G494" s="12">
        <f t="shared" si="7"/>
        <v>6902</v>
      </c>
      <c r="H494" s="13">
        <v>46049</v>
      </c>
      <c r="I494" s="12" t="s">
        <v>46</v>
      </c>
      <c r="J494" s="12" t="s">
        <v>43</v>
      </c>
      <c r="K494" s="12">
        <v>3</v>
      </c>
    </row>
    <row r="495" spans="1:11">
      <c r="A495" s="12" t="s">
        <v>635</v>
      </c>
      <c r="B495" s="12" t="s">
        <v>95</v>
      </c>
      <c r="C495" s="12" t="s">
        <v>79</v>
      </c>
      <c r="D495" s="12" t="s">
        <v>80</v>
      </c>
      <c r="E495" s="12">
        <v>4</v>
      </c>
      <c r="F495" s="12">
        <v>13696</v>
      </c>
      <c r="G495" s="12">
        <f t="shared" si="7"/>
        <v>54784</v>
      </c>
      <c r="H495" s="13">
        <v>46164</v>
      </c>
      <c r="I495" s="12" t="s">
        <v>27</v>
      </c>
      <c r="J495" s="12" t="s">
        <v>40</v>
      </c>
      <c r="K495" s="12">
        <v>3.7</v>
      </c>
    </row>
    <row r="496" spans="1:11">
      <c r="A496" s="12" t="s">
        <v>636</v>
      </c>
      <c r="B496" s="12" t="s">
        <v>225</v>
      </c>
      <c r="C496" s="12" t="s">
        <v>15</v>
      </c>
      <c r="D496" s="12" t="s">
        <v>7</v>
      </c>
      <c r="E496" s="12">
        <v>3</v>
      </c>
      <c r="F496" s="12">
        <v>8479</v>
      </c>
      <c r="G496" s="12">
        <f t="shared" si="7"/>
        <v>25437</v>
      </c>
      <c r="H496" s="13">
        <v>46065</v>
      </c>
      <c r="I496" s="12" t="s">
        <v>9</v>
      </c>
      <c r="J496" s="12" t="s">
        <v>43</v>
      </c>
      <c r="K496" s="12">
        <v>3.6</v>
      </c>
    </row>
    <row r="497" spans="1:11">
      <c r="A497" s="12" t="s">
        <v>637</v>
      </c>
      <c r="B497" s="12" t="s">
        <v>122</v>
      </c>
      <c r="C497" s="12" t="s">
        <v>52</v>
      </c>
      <c r="D497" s="12" t="s">
        <v>11</v>
      </c>
      <c r="E497" s="12">
        <v>1</v>
      </c>
      <c r="F497" s="12">
        <v>39492</v>
      </c>
      <c r="G497" s="12">
        <f t="shared" si="7"/>
        <v>39492</v>
      </c>
      <c r="H497" s="13">
        <v>46163</v>
      </c>
      <c r="I497" s="12" t="s">
        <v>9</v>
      </c>
      <c r="J497" s="12" t="s">
        <v>30</v>
      </c>
      <c r="K497" s="12">
        <v>4.0999999999999996</v>
      </c>
    </row>
    <row r="498" spans="1:11">
      <c r="A498" s="12" t="s">
        <v>638</v>
      </c>
      <c r="B498" s="12" t="s">
        <v>320</v>
      </c>
      <c r="C498" s="12" t="s">
        <v>26</v>
      </c>
      <c r="D498" s="12" t="s">
        <v>7</v>
      </c>
      <c r="E498" s="12">
        <v>2</v>
      </c>
      <c r="F498" s="12">
        <v>40123</v>
      </c>
      <c r="G498" s="12">
        <f t="shared" si="7"/>
        <v>80246</v>
      </c>
      <c r="H498" s="13">
        <v>46035</v>
      </c>
      <c r="I498" s="12" t="s">
        <v>9</v>
      </c>
      <c r="J498" s="12" t="s">
        <v>43</v>
      </c>
      <c r="K498" s="12">
        <v>4</v>
      </c>
    </row>
    <row r="499" spans="1:11">
      <c r="A499" s="12" t="s">
        <v>639</v>
      </c>
      <c r="B499" s="12" t="s">
        <v>300</v>
      </c>
      <c r="C499" s="12" t="s">
        <v>6</v>
      </c>
      <c r="D499" s="12" t="s">
        <v>7</v>
      </c>
      <c r="E499" s="12">
        <v>2</v>
      </c>
      <c r="F499" s="12">
        <v>15181</v>
      </c>
      <c r="G499" s="12">
        <f t="shared" si="7"/>
        <v>30362</v>
      </c>
      <c r="H499" s="13">
        <v>46030</v>
      </c>
      <c r="I499" s="12" t="s">
        <v>9</v>
      </c>
      <c r="J499" s="12" t="s">
        <v>8</v>
      </c>
      <c r="K499" s="12">
        <v>3.9</v>
      </c>
    </row>
    <row r="500" spans="1:11">
      <c r="A500" s="12" t="s">
        <v>640</v>
      </c>
      <c r="B500" s="12" t="s">
        <v>78</v>
      </c>
      <c r="C500" s="12" t="s">
        <v>52</v>
      </c>
      <c r="D500" s="12" t="s">
        <v>11</v>
      </c>
      <c r="E500" s="12">
        <v>4</v>
      </c>
      <c r="F500" s="12">
        <v>34426</v>
      </c>
      <c r="G500" s="12">
        <f t="shared" si="7"/>
        <v>137704</v>
      </c>
      <c r="H500" s="13">
        <v>46068</v>
      </c>
      <c r="I500" s="12" t="s">
        <v>74</v>
      </c>
      <c r="J500" s="12" t="s">
        <v>30</v>
      </c>
      <c r="K500" s="12">
        <v>4</v>
      </c>
    </row>
    <row r="501" spans="1:11">
      <c r="A501" s="12" t="s">
        <v>641</v>
      </c>
      <c r="B501" s="12" t="s">
        <v>219</v>
      </c>
      <c r="C501" s="12" t="s">
        <v>105</v>
      </c>
      <c r="D501" s="12" t="s">
        <v>106</v>
      </c>
      <c r="E501" s="12">
        <v>4</v>
      </c>
      <c r="F501" s="12">
        <v>35958</v>
      </c>
      <c r="G501" s="12">
        <f t="shared" si="7"/>
        <v>143832</v>
      </c>
      <c r="H501" s="13">
        <v>46065</v>
      </c>
      <c r="I501" s="12" t="s">
        <v>46</v>
      </c>
      <c r="J501" s="12" t="s">
        <v>43</v>
      </c>
      <c r="K501" s="12">
        <v>4.2</v>
      </c>
    </row>
    <row r="506" spans="1:11">
      <c r="A506" s="20" t="s">
        <v>687</v>
      </c>
    </row>
    <row r="508" spans="1:11">
      <c r="A508" t="s">
        <v>688</v>
      </c>
      <c r="B508">
        <f>SUM(G2:G501)</f>
        <v>38574405</v>
      </c>
    </row>
    <row r="510" spans="1:11">
      <c r="A510" t="s">
        <v>689</v>
      </c>
      <c r="B510">
        <f>MAX(G1:G501)</f>
        <v>249840</v>
      </c>
    </row>
    <row r="512" spans="1:11">
      <c r="A512" t="s">
        <v>690</v>
      </c>
      <c r="B512">
        <f>MIN(G1:G501)</f>
        <v>1161</v>
      </c>
    </row>
    <row r="514" spans="1:4">
      <c r="A514" t="s">
        <v>691</v>
      </c>
      <c r="B514">
        <f>COUNTA(G1:G501)-1</f>
        <v>500</v>
      </c>
    </row>
    <row r="516" spans="1:4">
      <c r="A516" t="s">
        <v>692</v>
      </c>
      <c r="B516">
        <f>COUNTA(_xlfn.UNIQUE(B1:B501))</f>
        <v>100</v>
      </c>
    </row>
    <row r="518" spans="1:4">
      <c r="A518" t="s">
        <v>693</v>
      </c>
      <c r="B518" s="11">
        <f>AVERAGE(K1:K501)</f>
        <v>4.0046000000000008</v>
      </c>
    </row>
    <row r="520" spans="1:4">
      <c r="A520" t="s">
        <v>697</v>
      </c>
      <c r="B520">
        <f>INDEX(G1:G501,15)</f>
        <v>120708</v>
      </c>
    </row>
    <row r="522" spans="1:4">
      <c r="A522" t="s">
        <v>698</v>
      </c>
      <c r="B522">
        <f>MATCH(B38,$B$1:B501,0)</f>
        <v>38</v>
      </c>
    </row>
    <row r="524" spans="1:4">
      <c r="A524" t="s">
        <v>699</v>
      </c>
      <c r="B524" t="s">
        <v>55</v>
      </c>
      <c r="C524">
        <f>INDEX($G$1:G501,MATCH(B524,$C$1:$C$501))</f>
        <v>65416</v>
      </c>
    </row>
    <row r="526" spans="1:4">
      <c r="A526" t="s">
        <v>700</v>
      </c>
      <c r="B526" t="s">
        <v>694</v>
      </c>
      <c r="C526" s="12" t="s">
        <v>93</v>
      </c>
      <c r="D526">
        <f>VLOOKUP(B488,B1:G501,5,"false")</f>
        <v>46523</v>
      </c>
    </row>
    <row r="527" spans="1:4">
      <c r="B527" t="s">
        <v>695</v>
      </c>
      <c r="C527" s="12" t="s">
        <v>102</v>
      </c>
      <c r="D527" t="str">
        <f>HLOOKUP(D1,B1:F501,478,"false")</f>
        <v>Electronics</v>
      </c>
    </row>
    <row r="529" spans="1:3">
      <c r="A529" t="s">
        <v>702</v>
      </c>
      <c r="B529" s="12" t="s">
        <v>219</v>
      </c>
      <c r="C529">
        <f>LEN(B529)</f>
        <v>11</v>
      </c>
    </row>
    <row r="531" spans="1:3">
      <c r="A531" t="s">
        <v>703</v>
      </c>
      <c r="B531" s="12" t="s">
        <v>78</v>
      </c>
      <c r="C531" t="str">
        <f>UPPER(B531)</f>
        <v>PRIYA SHARMA</v>
      </c>
    </row>
    <row r="533" spans="1:3">
      <c r="A533" t="s">
        <v>704</v>
      </c>
      <c r="B533" s="12" t="s">
        <v>78</v>
      </c>
      <c r="C533" t="str">
        <f>LOWER(B533)</f>
        <v>priya sharma</v>
      </c>
    </row>
    <row r="535" spans="1:3">
      <c r="A535" t="s">
        <v>705</v>
      </c>
      <c r="B535" s="12" t="s">
        <v>93</v>
      </c>
      <c r="C535" t="str">
        <f>PROPER(B535)</f>
        <v>Suresh Sharma</v>
      </c>
    </row>
    <row r="537" spans="1:3">
      <c r="A537" t="s">
        <v>706</v>
      </c>
      <c r="B537" s="12" t="s">
        <v>93</v>
      </c>
      <c r="C537" t="str">
        <f>LEFT(B537,4)</f>
        <v>Sure</v>
      </c>
    </row>
    <row r="539" spans="1:3">
      <c r="A539" t="s">
        <v>707</v>
      </c>
      <c r="B539" s="12" t="s">
        <v>93</v>
      </c>
      <c r="C539" t="str">
        <f>RIGHT(B539,5)</f>
        <v>harma</v>
      </c>
    </row>
    <row r="541" spans="1:3">
      <c r="A541" t="s">
        <v>708</v>
      </c>
      <c r="B541" s="12" t="s">
        <v>100</v>
      </c>
      <c r="C541" t="str">
        <f>MID(B541,5,5)</f>
        <v>a Sin</v>
      </c>
    </row>
    <row r="543" spans="1:3">
      <c r="A543" t="s">
        <v>709</v>
      </c>
      <c r="B543" s="12" t="s">
        <v>100</v>
      </c>
      <c r="C543" t="str">
        <f>REPLACE(B543,1,5,"Pooja")</f>
        <v>Pooja Singh</v>
      </c>
    </row>
    <row r="545" spans="1:3">
      <c r="A545" t="s">
        <v>710</v>
      </c>
      <c r="B545" s="30">
        <f ca="1">TODAY()</f>
        <v>46295</v>
      </c>
      <c r="C545" s="31">
        <f ca="1">NOW()</f>
        <v>46295.631092476855</v>
      </c>
    </row>
    <row r="547" spans="1:3">
      <c r="A547" t="s">
        <v>711</v>
      </c>
      <c r="B547" s="30">
        <f ca="1">TODAY()</f>
        <v>46295</v>
      </c>
      <c r="C547" t="b">
        <f ca="1">ISTEXT(B547)</f>
        <v>0</v>
      </c>
    </row>
    <row r="549" spans="1:3">
      <c r="A549" t="s">
        <v>712</v>
      </c>
      <c r="B549" s="12" t="s">
        <v>100</v>
      </c>
      <c r="C549" t="str">
        <f>_xlfn.CONCAT(B549,C543)</f>
        <v>Priya SinghPooja Singh</v>
      </c>
    </row>
    <row r="550" spans="1:3">
      <c r="B550" t="s">
        <v>713</v>
      </c>
    </row>
    <row r="552" spans="1:3">
      <c r="A552" t="s">
        <v>714</v>
      </c>
      <c r="B552" s="30">
        <v>46199</v>
      </c>
      <c r="C552">
        <f>YEAR(B552)</f>
        <v>2026</v>
      </c>
    </row>
    <row r="554" spans="1:3">
      <c r="A554" t="s">
        <v>715</v>
      </c>
      <c r="B554" t="s">
        <v>716</v>
      </c>
    </row>
  </sheetData>
  <autoFilter ref="A1:K1" xr:uid="{00000000-0001-0000-0000-000000000000}"/>
  <dataValidations count="2">
    <dataValidation type="list" allowBlank="1" showInputMessage="1" showErrorMessage="1" sqref="B524" xr:uid="{EEB770AC-4ACB-4CE1-BF68-307697978D58}">
      <formula1>$C$1:$C$501</formula1>
    </dataValidation>
    <dataValidation type="list" allowBlank="1" showInputMessage="1" showErrorMessage="1" promptTitle="List" sqref="B554" xr:uid="{EE5470A7-46CE-456A-A0A1-BE94BB32D5B7}">
      <formula1>"STOCK,NO STOCK"</formula1>
    </dataValidation>
  </dataValidation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978670-42E1-4583-9D72-5A3943C178FF}">
  <dimension ref="D2:H2"/>
  <sheetViews>
    <sheetView topLeftCell="A13" zoomScaleNormal="100" workbookViewId="0">
      <selection activeCell="K13" sqref="K13"/>
    </sheetView>
  </sheetViews>
  <sheetFormatPr defaultRowHeight="15"/>
  <cols>
    <col min="2" max="2" width="10.7109375" bestFit="1" customWidth="1"/>
    <col min="3" max="3" width="18.85546875" bestFit="1" customWidth="1"/>
    <col min="4" max="4" width="12.42578125" customWidth="1"/>
    <col min="5" max="5" width="14.5703125" bestFit="1" customWidth="1"/>
    <col min="6" max="6" width="19.85546875" bestFit="1" customWidth="1"/>
    <col min="8" max="8" width="73.5703125" bestFit="1" customWidth="1"/>
  </cols>
  <sheetData>
    <row r="2" spans="4:8" ht="28.5">
      <c r="D2" s="21" t="s">
        <v>686</v>
      </c>
      <c r="E2" s="22"/>
      <c r="F2" s="23"/>
      <c r="G2" s="22"/>
      <c r="H2" s="22"/>
    </row>
  </sheetData>
  <phoneticPr fontId="4" type="noConversion"/>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371F75-B21E-4214-8CB3-DB70042163FD}">
  <dimension ref="A1:J16"/>
  <sheetViews>
    <sheetView topLeftCell="A16" workbookViewId="0">
      <selection activeCell="T15" sqref="T15"/>
    </sheetView>
  </sheetViews>
  <sheetFormatPr defaultRowHeight="15"/>
  <sheetData>
    <row r="1" spans="1:10" ht="18.75">
      <c r="H1" s="25" t="s">
        <v>683</v>
      </c>
      <c r="I1" s="25"/>
      <c r="J1" s="25"/>
    </row>
    <row r="3" spans="1:10">
      <c r="A3" s="26" t="s">
        <v>701</v>
      </c>
      <c r="B3" s="22"/>
      <c r="C3" s="22"/>
      <c r="D3" s="22"/>
    </row>
    <row r="10" spans="1:10">
      <c r="A10" s="32" t="s">
        <v>684</v>
      </c>
      <c r="B10" s="32"/>
    </row>
    <row r="16" spans="1:10">
      <c r="A16" s="33" t="s">
        <v>685</v>
      </c>
      <c r="B16" s="33"/>
      <c r="C16" s="33"/>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5419F-2CD7-0044-A85F-DDDC88885789}">
  <dimension ref="A1:E5"/>
  <sheetViews>
    <sheetView topLeftCell="E1" workbookViewId="0"/>
  </sheetViews>
  <sheetFormatPr defaultRowHeight="15"/>
  <sheetData>
    <row r="1" spans="1:5" ht="21">
      <c r="A1" s="2" t="s">
        <v>17</v>
      </c>
      <c r="D1" t="s">
        <v>1</v>
      </c>
      <c r="E1" t="s">
        <v>18</v>
      </c>
    </row>
    <row r="2" spans="1:5">
      <c r="D2" t="s">
        <v>7</v>
      </c>
      <c r="E2">
        <f>SUMIF('Online Shopping Customer Data'!D:D,"Electronics",'Online Shopping Customer Data'!K:K)</f>
        <v>898.00000000000011</v>
      </c>
    </row>
    <row r="3" spans="1:5">
      <c r="A3" t="s">
        <v>19</v>
      </c>
      <c r="B3">
        <f>COUNTA('Online Shopping Customer Data'!A2:A100)</f>
        <v>99</v>
      </c>
      <c r="D3" t="s">
        <v>11</v>
      </c>
      <c r="E3">
        <f>SUMIF('Online Shopping Customer Data'!D:D,"Fashion",'Online Shopping Customer Data'!K:K)</f>
        <v>342.90000000000003</v>
      </c>
    </row>
    <row r="4" spans="1:5">
      <c r="A4" t="s">
        <v>20</v>
      </c>
      <c r="B4">
        <f>SUM('Online Shopping Customer Data'!K8:K100)</f>
        <v>376.69999999999993</v>
      </c>
      <c r="D4" t="s">
        <v>14</v>
      </c>
      <c r="E4">
        <f>SUMIF('Online Shopping Customer Data'!D:D,"Accessories",'Online Shopping Customer Data'!K:K)</f>
        <v>286.19999999999993</v>
      </c>
    </row>
    <row r="5" spans="1:5">
      <c r="A5" t="s">
        <v>21</v>
      </c>
      <c r="B5" t="e">
        <f>AVERAGE('Online Shopping Customer Data'!J8:J100)</f>
        <v>#DIV/0!</v>
      </c>
    </row>
  </sheetData>
  <pageMargins left="0.75" right="0.75" top="1" bottom="1" header="0.5" footer="0.5"/>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FE6286E-5C5F-47FD-A925-7C605EE2675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Pivot Chart 1</vt:lpstr>
      <vt:lpstr>Pivot Chart 2</vt:lpstr>
      <vt:lpstr>Pivot Table 3</vt:lpstr>
      <vt:lpstr>Pivot Table 4</vt:lpstr>
      <vt:lpstr>4 Pivot Reference</vt:lpstr>
      <vt:lpstr>Sparkline</vt:lpstr>
      <vt:lpstr>Data Alignment</vt:lpstr>
      <vt:lpstr>Online Shopping Customer Data</vt:lpstr>
      <vt:lpstr>Dashboard</vt:lpstr>
      <vt:lpstr>Objective</vt:lpstr>
      <vt:lpstr>Dashboard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K.Susmeetha sri ganesh</cp:lastModifiedBy>
  <dcterms:created xsi:type="dcterms:W3CDTF">2026-06-22T07:21:56Z</dcterms:created>
  <dcterms:modified xsi:type="dcterms:W3CDTF">2026-09-30T09:47:06Z</dcterms:modified>
</cp:coreProperties>
</file>